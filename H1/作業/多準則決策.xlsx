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課程\商業智慧\資料與程式\"/>
    </mc:Choice>
  </mc:AlternateContent>
  <bookViews>
    <workbookView xWindow="0" yWindow="0" windowWidth="28800" windowHeight="12285" activeTab="2"/>
  </bookViews>
  <sheets>
    <sheet name="AHP_TOPSIS" sheetId="1" r:id="rId1"/>
    <sheet name="DEMATEL" sheetId="2" r:id="rId2"/>
    <sheet name="Kano" sheetId="3" r:id="rId3"/>
    <sheet name="Satisfaction" sheetId="4" r:id="rId4"/>
  </sheets>
  <externalReferences>
    <externalReference r:id="rId5"/>
  </externalReferences>
  <definedNames>
    <definedName name="solver_adj" localSheetId="3" hidden="1">Satisfaction!$F$2:$F$11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Satisfaction!$F$2:$F$11</definedName>
    <definedName name="solver_lhs2" localSheetId="3" hidden="1">Satisfaction!$B$18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Satisfaction!$I$2</definedName>
    <definedName name="solver_pre" localSheetId="3" hidden="1">0.000001</definedName>
    <definedName name="solver_rbv" localSheetId="3" hidden="1">1</definedName>
    <definedName name="solver_rel1" localSheetId="3" hidden="1">5</definedName>
    <definedName name="solver_rel2" localSheetId="3" hidden="1">1</definedName>
    <definedName name="solver_rhs1" localSheetId="3" hidden="1">二進制</definedName>
    <definedName name="solver_rhs2" localSheetId="3" hidden="1">Satisfaction!$D$18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D13" i="1"/>
  <c r="E13" i="1"/>
  <c r="B13" i="1"/>
  <c r="C12" i="1"/>
  <c r="D12" i="1"/>
  <c r="E12" i="1"/>
  <c r="B12" i="1"/>
  <c r="H2" i="4" l="1"/>
  <c r="B16" i="2" l="1"/>
  <c r="L2" i="4" l="1"/>
  <c r="K3" i="4"/>
  <c r="K4" i="4"/>
  <c r="K5" i="4"/>
  <c r="K6" i="4"/>
  <c r="K7" i="4"/>
  <c r="K8" i="4"/>
  <c r="K9" i="4"/>
  <c r="K10" i="4"/>
  <c r="K11" i="4"/>
  <c r="K2" i="4"/>
  <c r="B15" i="4" l="1"/>
  <c r="G11" i="4"/>
  <c r="G10" i="4"/>
  <c r="G9" i="4"/>
  <c r="G8" i="4"/>
  <c r="G7" i="4"/>
  <c r="G6" i="4"/>
  <c r="B18" i="4"/>
  <c r="G5" i="4"/>
  <c r="G4" i="4"/>
  <c r="G3" i="4"/>
  <c r="G2" i="4"/>
  <c r="K11" i="3"/>
  <c r="L11" i="3" s="1"/>
  <c r="J11" i="3"/>
  <c r="I11" i="3"/>
  <c r="H11" i="3"/>
  <c r="K10" i="3"/>
  <c r="L10" i="3" s="1"/>
  <c r="J10" i="3"/>
  <c r="I10" i="3"/>
  <c r="H10" i="3"/>
  <c r="K9" i="3"/>
  <c r="L9" i="3" s="1"/>
  <c r="J9" i="3"/>
  <c r="I9" i="3"/>
  <c r="H9" i="3"/>
  <c r="K8" i="3"/>
  <c r="L8" i="3" s="1"/>
  <c r="J8" i="3"/>
  <c r="I8" i="3"/>
  <c r="H8" i="3"/>
  <c r="K7" i="3"/>
  <c r="L7" i="3" s="1"/>
  <c r="J7" i="3"/>
  <c r="I7" i="3"/>
  <c r="H7" i="3"/>
  <c r="K6" i="3"/>
  <c r="L6" i="3" s="1"/>
  <c r="J6" i="3"/>
  <c r="I6" i="3"/>
  <c r="H6" i="3"/>
  <c r="K5" i="3"/>
  <c r="L5" i="3" s="1"/>
  <c r="J5" i="3"/>
  <c r="I5" i="3"/>
  <c r="H5" i="3"/>
  <c r="K4" i="3"/>
  <c r="L4" i="3" s="1"/>
  <c r="J4" i="3"/>
  <c r="I4" i="3"/>
  <c r="H4" i="3"/>
  <c r="K3" i="3"/>
  <c r="L3" i="3" s="1"/>
  <c r="J3" i="3"/>
  <c r="I3" i="3"/>
  <c r="H3" i="3"/>
  <c r="K2" i="3"/>
  <c r="L2" i="3" s="1"/>
  <c r="J2" i="3"/>
  <c r="I2" i="3"/>
  <c r="H2" i="3"/>
  <c r="I2" i="4" l="1"/>
  <c r="M3" i="3"/>
  <c r="M9" i="3"/>
  <c r="M6" i="3"/>
  <c r="M4" i="3"/>
  <c r="M7" i="3"/>
  <c r="M10" i="3"/>
  <c r="L12" i="3"/>
  <c r="M2" i="3"/>
  <c r="M5" i="3"/>
  <c r="M8" i="3"/>
  <c r="M11" i="3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N12" i="2"/>
  <c r="N11" i="2"/>
  <c r="N10" i="2"/>
  <c r="N9" i="2"/>
  <c r="N8" i="2"/>
  <c r="N7" i="2"/>
  <c r="N6" i="2"/>
  <c r="N5" i="2"/>
  <c r="N4" i="2"/>
  <c r="N3" i="2"/>
  <c r="N2" i="2"/>
  <c r="M12" i="3" l="1"/>
  <c r="N14" i="2"/>
  <c r="G9" i="1"/>
  <c r="K10" i="1"/>
  <c r="K11" i="1"/>
  <c r="K9" i="1"/>
  <c r="D27" i="2" l="1"/>
  <c r="D41" i="2" s="1"/>
  <c r="D26" i="2"/>
  <c r="D40" i="2" s="1"/>
  <c r="D25" i="2"/>
  <c r="D39" i="2" s="1"/>
  <c r="D24" i="2"/>
  <c r="D38" i="2" s="1"/>
  <c r="D23" i="2"/>
  <c r="D37" i="2" s="1"/>
  <c r="D22" i="2"/>
  <c r="D36" i="2" s="1"/>
  <c r="D21" i="2"/>
  <c r="D35" i="2" s="1"/>
  <c r="D20" i="2"/>
  <c r="D34" i="2" s="1"/>
  <c r="D19" i="2"/>
  <c r="D33" i="2" s="1"/>
  <c r="D18" i="2"/>
  <c r="D17" i="2"/>
  <c r="D31" i="2" s="1"/>
  <c r="D16" i="2"/>
  <c r="D30" i="2" s="1"/>
  <c r="C27" i="2"/>
  <c r="C41" i="2" s="1"/>
  <c r="C26" i="2"/>
  <c r="C40" i="2" s="1"/>
  <c r="C25" i="2"/>
  <c r="C39" i="2" s="1"/>
  <c r="C24" i="2"/>
  <c r="C38" i="2" s="1"/>
  <c r="C23" i="2"/>
  <c r="C37" i="2" s="1"/>
  <c r="C22" i="2"/>
  <c r="C36" i="2" s="1"/>
  <c r="C21" i="2"/>
  <c r="C35" i="2" s="1"/>
  <c r="C20" i="2"/>
  <c r="C34" i="2" s="1"/>
  <c r="C19" i="2"/>
  <c r="C33" i="2" s="1"/>
  <c r="M27" i="2"/>
  <c r="M26" i="2"/>
  <c r="M40" i="2" s="1"/>
  <c r="M25" i="2"/>
  <c r="M39" i="2" s="1"/>
  <c r="M24" i="2"/>
  <c r="M38" i="2" s="1"/>
  <c r="M23" i="2"/>
  <c r="M37" i="2" s="1"/>
  <c r="M22" i="2"/>
  <c r="M36" i="2" s="1"/>
  <c r="M21" i="2"/>
  <c r="M35" i="2" s="1"/>
  <c r="M20" i="2"/>
  <c r="M34" i="2" s="1"/>
  <c r="M19" i="2"/>
  <c r="M33" i="2" s="1"/>
  <c r="M18" i="2"/>
  <c r="M32" i="2" s="1"/>
  <c r="M17" i="2"/>
  <c r="M31" i="2" s="1"/>
  <c r="M16" i="2"/>
  <c r="M30" i="2" s="1"/>
  <c r="L27" i="2"/>
  <c r="L41" i="2" s="1"/>
  <c r="L25" i="2"/>
  <c r="L39" i="2" s="1"/>
  <c r="L23" i="2"/>
  <c r="L37" i="2" s="1"/>
  <c r="L21" i="2"/>
  <c r="L35" i="2" s="1"/>
  <c r="L19" i="2"/>
  <c r="L33" i="2" s="1"/>
  <c r="L17" i="2"/>
  <c r="L31" i="2" s="1"/>
  <c r="E27" i="2"/>
  <c r="E41" i="2" s="1"/>
  <c r="E18" i="2"/>
  <c r="E32" i="2" s="1"/>
  <c r="L26" i="2"/>
  <c r="L24" i="2"/>
  <c r="L38" i="2" s="1"/>
  <c r="L22" i="2"/>
  <c r="L36" i="2" s="1"/>
  <c r="L20" i="2"/>
  <c r="L34" i="2" s="1"/>
  <c r="L18" i="2"/>
  <c r="L32" i="2" s="1"/>
  <c r="L16" i="2"/>
  <c r="L30" i="2" s="1"/>
  <c r="E21" i="2"/>
  <c r="E35" i="2" s="1"/>
  <c r="K27" i="2"/>
  <c r="K41" i="2" s="1"/>
  <c r="K26" i="2"/>
  <c r="K40" i="2" s="1"/>
  <c r="K25" i="2"/>
  <c r="K24" i="2"/>
  <c r="K38" i="2" s="1"/>
  <c r="K23" i="2"/>
  <c r="K37" i="2" s="1"/>
  <c r="K22" i="2"/>
  <c r="K36" i="2" s="1"/>
  <c r="K21" i="2"/>
  <c r="K35" i="2" s="1"/>
  <c r="K20" i="2"/>
  <c r="K34" i="2" s="1"/>
  <c r="K19" i="2"/>
  <c r="K33" i="2" s="1"/>
  <c r="K18" i="2"/>
  <c r="K32" i="2" s="1"/>
  <c r="K17" i="2"/>
  <c r="K31" i="2" s="1"/>
  <c r="K16" i="2"/>
  <c r="K30" i="2" s="1"/>
  <c r="E25" i="2"/>
  <c r="E39" i="2" s="1"/>
  <c r="J27" i="2"/>
  <c r="J41" i="2" s="1"/>
  <c r="J26" i="2"/>
  <c r="J40" i="2" s="1"/>
  <c r="J25" i="2"/>
  <c r="J39" i="2" s="1"/>
  <c r="J24" i="2"/>
  <c r="J23" i="2"/>
  <c r="J37" i="2" s="1"/>
  <c r="J22" i="2"/>
  <c r="J36" i="2" s="1"/>
  <c r="J21" i="2"/>
  <c r="J35" i="2" s="1"/>
  <c r="J20" i="2"/>
  <c r="J34" i="2" s="1"/>
  <c r="J19" i="2"/>
  <c r="J33" i="2" s="1"/>
  <c r="J18" i="2"/>
  <c r="J32" i="2" s="1"/>
  <c r="J17" i="2"/>
  <c r="J31" i="2" s="1"/>
  <c r="J16" i="2"/>
  <c r="J30" i="2" s="1"/>
  <c r="F25" i="2"/>
  <c r="F39" i="2" s="1"/>
  <c r="F22" i="2"/>
  <c r="F36" i="2" s="1"/>
  <c r="F18" i="2"/>
  <c r="F32" i="2" s="1"/>
  <c r="E23" i="2"/>
  <c r="E37" i="2" s="1"/>
  <c r="E19" i="2"/>
  <c r="I27" i="2"/>
  <c r="I41" i="2" s="1"/>
  <c r="I26" i="2"/>
  <c r="I40" i="2" s="1"/>
  <c r="I25" i="2"/>
  <c r="I39" i="2" s="1"/>
  <c r="I24" i="2"/>
  <c r="I38" i="2" s="1"/>
  <c r="I23" i="2"/>
  <c r="I22" i="2"/>
  <c r="I36" i="2" s="1"/>
  <c r="I21" i="2"/>
  <c r="I35" i="2" s="1"/>
  <c r="I20" i="2"/>
  <c r="I34" i="2" s="1"/>
  <c r="I19" i="2"/>
  <c r="I33" i="2" s="1"/>
  <c r="I18" i="2"/>
  <c r="I32" i="2" s="1"/>
  <c r="I17" i="2"/>
  <c r="I31" i="2" s="1"/>
  <c r="I16" i="2"/>
  <c r="I30" i="2" s="1"/>
  <c r="F24" i="2"/>
  <c r="F38" i="2" s="1"/>
  <c r="F17" i="2"/>
  <c r="F31" i="2" s="1"/>
  <c r="E24" i="2"/>
  <c r="E38" i="2" s="1"/>
  <c r="E17" i="2"/>
  <c r="E31" i="2" s="1"/>
  <c r="H27" i="2"/>
  <c r="H41" i="2" s="1"/>
  <c r="H26" i="2"/>
  <c r="H40" i="2" s="1"/>
  <c r="H25" i="2"/>
  <c r="H39" i="2" s="1"/>
  <c r="H24" i="2"/>
  <c r="H38" i="2" s="1"/>
  <c r="H23" i="2"/>
  <c r="H37" i="2" s="1"/>
  <c r="H22" i="2"/>
  <c r="H21" i="2"/>
  <c r="H35" i="2" s="1"/>
  <c r="H20" i="2"/>
  <c r="H34" i="2" s="1"/>
  <c r="H19" i="2"/>
  <c r="H33" i="2" s="1"/>
  <c r="H18" i="2"/>
  <c r="H32" i="2" s="1"/>
  <c r="H17" i="2"/>
  <c r="H31" i="2" s="1"/>
  <c r="H16" i="2"/>
  <c r="H30" i="2" s="1"/>
  <c r="F26" i="2"/>
  <c r="F40" i="2" s="1"/>
  <c r="F21" i="2"/>
  <c r="F35" i="2" s="1"/>
  <c r="F16" i="2"/>
  <c r="F30" i="2" s="1"/>
  <c r="E22" i="2"/>
  <c r="E36" i="2" s="1"/>
  <c r="E16" i="2"/>
  <c r="E30" i="2" s="1"/>
  <c r="G27" i="2"/>
  <c r="G41" i="2" s="1"/>
  <c r="G26" i="2"/>
  <c r="G40" i="2" s="1"/>
  <c r="G25" i="2"/>
  <c r="G39" i="2" s="1"/>
  <c r="G24" i="2"/>
  <c r="G38" i="2" s="1"/>
  <c r="G23" i="2"/>
  <c r="G37" i="2" s="1"/>
  <c r="G22" i="2"/>
  <c r="G36" i="2" s="1"/>
  <c r="G21" i="2"/>
  <c r="G20" i="2"/>
  <c r="G34" i="2" s="1"/>
  <c r="G19" i="2"/>
  <c r="G33" i="2" s="1"/>
  <c r="G18" i="2"/>
  <c r="G32" i="2" s="1"/>
  <c r="G17" i="2"/>
  <c r="G31" i="2" s="1"/>
  <c r="G16" i="2"/>
  <c r="G30" i="2" s="1"/>
  <c r="F27" i="2"/>
  <c r="F41" i="2" s="1"/>
  <c r="F19" i="2"/>
  <c r="F33" i="2" s="1"/>
  <c r="F23" i="2"/>
  <c r="F37" i="2" s="1"/>
  <c r="F20" i="2"/>
  <c r="E26" i="2"/>
  <c r="E40" i="2" s="1"/>
  <c r="E20" i="2"/>
  <c r="E34" i="2" s="1"/>
  <c r="B25" i="2"/>
  <c r="B39" i="2" s="1"/>
  <c r="B24" i="2"/>
  <c r="B38" i="2" s="1"/>
  <c r="B23" i="2"/>
  <c r="B37" i="2" s="1"/>
  <c r="B22" i="2"/>
  <c r="B36" i="2" s="1"/>
  <c r="B21" i="2"/>
  <c r="B35" i="2" s="1"/>
  <c r="B20" i="2"/>
  <c r="B34" i="2" s="1"/>
  <c r="B19" i="2"/>
  <c r="B33" i="2" s="1"/>
  <c r="C18" i="2"/>
  <c r="C32" i="2" s="1"/>
  <c r="B18" i="2"/>
  <c r="B32" i="2" s="1"/>
  <c r="C17" i="2"/>
  <c r="B27" i="2"/>
  <c r="B41" i="2" s="1"/>
  <c r="B17" i="2"/>
  <c r="B31" i="2" s="1"/>
  <c r="B26" i="2"/>
  <c r="B40" i="2" s="1"/>
  <c r="C16" i="2"/>
  <c r="C30" i="2" s="1"/>
  <c r="B43" i="2" s="1" a="1"/>
  <c r="H9" i="1"/>
  <c r="G10" i="1"/>
  <c r="G11" i="1"/>
  <c r="E14" i="1"/>
  <c r="D14" i="1"/>
  <c r="C14" i="1"/>
  <c r="B14" i="1"/>
  <c r="H10" i="1"/>
  <c r="H11" i="1"/>
  <c r="K6" i="1"/>
  <c r="K3" i="1"/>
  <c r="K4" i="1"/>
  <c r="K5" i="1"/>
  <c r="K2" i="1"/>
  <c r="H2" i="1"/>
  <c r="I2" i="1"/>
  <c r="J2" i="1"/>
  <c r="H3" i="1"/>
  <c r="I3" i="1"/>
  <c r="J3" i="1"/>
  <c r="H4" i="1"/>
  <c r="I4" i="1"/>
  <c r="J4" i="1"/>
  <c r="H5" i="1"/>
  <c r="I5" i="1"/>
  <c r="J5" i="1"/>
  <c r="G3" i="1"/>
  <c r="G4" i="1"/>
  <c r="G5" i="1"/>
  <c r="G2" i="1"/>
  <c r="C6" i="1"/>
  <c r="D6" i="1"/>
  <c r="E6" i="1"/>
  <c r="B6" i="1"/>
  <c r="C5" i="1"/>
  <c r="B5" i="1"/>
  <c r="B4" i="1"/>
  <c r="C4" i="1"/>
  <c r="C2" i="1"/>
  <c r="I10" i="1" l="1"/>
  <c r="I11" i="1"/>
  <c r="C54" i="2"/>
  <c r="C53" i="2"/>
  <c r="C52" i="2"/>
  <c r="C51" i="2"/>
  <c r="C50" i="2"/>
  <c r="C49" i="2"/>
  <c r="C48" i="2"/>
  <c r="C47" i="2"/>
  <c r="C46" i="2"/>
  <c r="C45" i="2"/>
  <c r="C44" i="2"/>
  <c r="C43" i="2"/>
  <c r="B54" i="2"/>
  <c r="B53" i="2"/>
  <c r="B52" i="2"/>
  <c r="B51" i="2"/>
  <c r="B50" i="2"/>
  <c r="B49" i="2"/>
  <c r="B48" i="2"/>
  <c r="B47" i="2"/>
  <c r="B46" i="2"/>
  <c r="B45" i="2"/>
  <c r="B44" i="2"/>
  <c r="B43" i="2"/>
  <c r="B56" i="2" s="1" a="1"/>
  <c r="M54" i="2"/>
  <c r="M53" i="2"/>
  <c r="M52" i="2"/>
  <c r="M51" i="2"/>
  <c r="M50" i="2"/>
  <c r="M49" i="2"/>
  <c r="M48" i="2"/>
  <c r="M47" i="2"/>
  <c r="M46" i="2"/>
  <c r="M45" i="2"/>
  <c r="M44" i="2"/>
  <c r="M43" i="2"/>
  <c r="L54" i="2"/>
  <c r="L53" i="2"/>
  <c r="L52" i="2"/>
  <c r="L51" i="2"/>
  <c r="L50" i="2"/>
  <c r="L49" i="2"/>
  <c r="L48" i="2"/>
  <c r="L47" i="2"/>
  <c r="L46" i="2"/>
  <c r="L45" i="2"/>
  <c r="L44" i="2"/>
  <c r="L43" i="2"/>
  <c r="K54" i="2"/>
  <c r="K53" i="2"/>
  <c r="K52" i="2"/>
  <c r="K51" i="2"/>
  <c r="K50" i="2"/>
  <c r="K49" i="2"/>
  <c r="K48" i="2"/>
  <c r="K47" i="2"/>
  <c r="K46" i="2"/>
  <c r="K45" i="2"/>
  <c r="K44" i="2"/>
  <c r="K43" i="2"/>
  <c r="J54" i="2"/>
  <c r="J53" i="2"/>
  <c r="J52" i="2"/>
  <c r="J51" i="2"/>
  <c r="J50" i="2"/>
  <c r="J49" i="2"/>
  <c r="J48" i="2"/>
  <c r="J47" i="2"/>
  <c r="J46" i="2"/>
  <c r="J45" i="2"/>
  <c r="J44" i="2"/>
  <c r="J43" i="2"/>
  <c r="I54" i="2"/>
  <c r="I53" i="2"/>
  <c r="I52" i="2"/>
  <c r="I51" i="2"/>
  <c r="I50" i="2"/>
  <c r="I49" i="2"/>
  <c r="I48" i="2"/>
  <c r="I47" i="2"/>
  <c r="I46" i="2"/>
  <c r="I45" i="2"/>
  <c r="I44" i="2"/>
  <c r="I43" i="2"/>
  <c r="D54" i="2"/>
  <c r="D51" i="2"/>
  <c r="D49" i="2"/>
  <c r="D47" i="2"/>
  <c r="D44" i="2"/>
  <c r="H54" i="2"/>
  <c r="H53" i="2"/>
  <c r="H52" i="2"/>
  <c r="H51" i="2"/>
  <c r="H50" i="2"/>
  <c r="H49" i="2"/>
  <c r="H48" i="2"/>
  <c r="H47" i="2"/>
  <c r="H46" i="2"/>
  <c r="H45" i="2"/>
  <c r="H44" i="2"/>
  <c r="H43" i="2"/>
  <c r="D52" i="2"/>
  <c r="D45" i="2"/>
  <c r="G54" i="2"/>
  <c r="G53" i="2"/>
  <c r="G52" i="2"/>
  <c r="G51" i="2"/>
  <c r="G50" i="2"/>
  <c r="G49" i="2"/>
  <c r="G48" i="2"/>
  <c r="G47" i="2"/>
  <c r="G46" i="2"/>
  <c r="G45" i="2"/>
  <c r="G44" i="2"/>
  <c r="G43" i="2"/>
  <c r="D53" i="2"/>
  <c r="D50" i="2"/>
  <c r="D48" i="2"/>
  <c r="D46" i="2"/>
  <c r="F54" i="2"/>
  <c r="F53" i="2"/>
  <c r="F52" i="2"/>
  <c r="F51" i="2"/>
  <c r="F50" i="2"/>
  <c r="F49" i="2"/>
  <c r="F48" i="2"/>
  <c r="F47" i="2"/>
  <c r="F46" i="2"/>
  <c r="F45" i="2"/>
  <c r="F44" i="2"/>
  <c r="F43" i="2"/>
  <c r="E54" i="2"/>
  <c r="E53" i="2"/>
  <c r="E52" i="2"/>
  <c r="E51" i="2"/>
  <c r="E50" i="2"/>
  <c r="E49" i="2"/>
  <c r="E48" i="2"/>
  <c r="E47" i="2"/>
  <c r="E46" i="2"/>
  <c r="E45" i="2"/>
  <c r="E44" i="2"/>
  <c r="E43" i="2"/>
  <c r="D43" i="2"/>
  <c r="I9" i="1"/>
  <c r="B67" i="2" l="1"/>
  <c r="B66" i="2"/>
  <c r="B65" i="2"/>
  <c r="B64" i="2"/>
  <c r="B63" i="2"/>
  <c r="B62" i="2"/>
  <c r="B61" i="2"/>
  <c r="B60" i="2"/>
  <c r="B59" i="2"/>
  <c r="B58" i="2"/>
  <c r="N58" i="2" s="1"/>
  <c r="B57" i="2"/>
  <c r="B56" i="2"/>
  <c r="M67" i="2"/>
  <c r="M66" i="2"/>
  <c r="M65" i="2"/>
  <c r="M64" i="2"/>
  <c r="M63" i="2"/>
  <c r="M62" i="2"/>
  <c r="M61" i="2"/>
  <c r="M60" i="2"/>
  <c r="M59" i="2"/>
  <c r="M58" i="2"/>
  <c r="M57" i="2"/>
  <c r="M56" i="2"/>
  <c r="M68" i="2" s="1"/>
  <c r="L67" i="2"/>
  <c r="L66" i="2"/>
  <c r="L65" i="2"/>
  <c r="L64" i="2"/>
  <c r="L63" i="2"/>
  <c r="L62" i="2"/>
  <c r="L61" i="2"/>
  <c r="L60" i="2"/>
  <c r="L59" i="2"/>
  <c r="L58" i="2"/>
  <c r="L57" i="2"/>
  <c r="L56" i="2"/>
  <c r="L68" i="2" s="1"/>
  <c r="K67" i="2"/>
  <c r="K66" i="2"/>
  <c r="K65" i="2"/>
  <c r="K64" i="2"/>
  <c r="K63" i="2"/>
  <c r="K62" i="2"/>
  <c r="K61" i="2"/>
  <c r="K60" i="2"/>
  <c r="K59" i="2"/>
  <c r="K58" i="2"/>
  <c r="K57" i="2"/>
  <c r="K56" i="2"/>
  <c r="K68" i="2" s="1"/>
  <c r="J67" i="2"/>
  <c r="J66" i="2"/>
  <c r="J65" i="2"/>
  <c r="J64" i="2"/>
  <c r="J63" i="2"/>
  <c r="J62" i="2"/>
  <c r="J61" i="2"/>
  <c r="J60" i="2"/>
  <c r="J59" i="2"/>
  <c r="J58" i="2"/>
  <c r="J57" i="2"/>
  <c r="J56" i="2"/>
  <c r="J68" i="2" s="1"/>
  <c r="I67" i="2"/>
  <c r="I66" i="2"/>
  <c r="I65" i="2"/>
  <c r="I64" i="2"/>
  <c r="I63" i="2"/>
  <c r="I62" i="2"/>
  <c r="I61" i="2"/>
  <c r="I60" i="2"/>
  <c r="I59" i="2"/>
  <c r="I58" i="2"/>
  <c r="I57" i="2"/>
  <c r="I56" i="2"/>
  <c r="I68" i="2" s="1"/>
  <c r="C64" i="2"/>
  <c r="H67" i="2"/>
  <c r="H66" i="2"/>
  <c r="H65" i="2"/>
  <c r="H64" i="2"/>
  <c r="H63" i="2"/>
  <c r="H62" i="2"/>
  <c r="H61" i="2"/>
  <c r="H60" i="2"/>
  <c r="H59" i="2"/>
  <c r="H58" i="2"/>
  <c r="H57" i="2"/>
  <c r="H56" i="2"/>
  <c r="C65" i="2"/>
  <c r="C62" i="2"/>
  <c r="C60" i="2"/>
  <c r="C59" i="2"/>
  <c r="C57" i="2"/>
  <c r="G67" i="2"/>
  <c r="G66" i="2"/>
  <c r="G65" i="2"/>
  <c r="G64" i="2"/>
  <c r="G63" i="2"/>
  <c r="G62" i="2"/>
  <c r="G61" i="2"/>
  <c r="G60" i="2"/>
  <c r="G59" i="2"/>
  <c r="G58" i="2"/>
  <c r="G57" i="2"/>
  <c r="G56" i="2"/>
  <c r="C67" i="2"/>
  <c r="F67" i="2"/>
  <c r="F66" i="2"/>
  <c r="F65" i="2"/>
  <c r="F64" i="2"/>
  <c r="F63" i="2"/>
  <c r="F62" i="2"/>
  <c r="F61" i="2"/>
  <c r="F60" i="2"/>
  <c r="F59" i="2"/>
  <c r="F58" i="2"/>
  <c r="F57" i="2"/>
  <c r="F56" i="2"/>
  <c r="C66" i="2"/>
  <c r="C61" i="2"/>
  <c r="C58" i="2"/>
  <c r="C56" i="2"/>
  <c r="E67" i="2"/>
  <c r="E66" i="2"/>
  <c r="E65" i="2"/>
  <c r="E64" i="2"/>
  <c r="E63" i="2"/>
  <c r="E62" i="2"/>
  <c r="E61" i="2"/>
  <c r="E60" i="2"/>
  <c r="E59" i="2"/>
  <c r="E58" i="2"/>
  <c r="E57" i="2"/>
  <c r="E56" i="2"/>
  <c r="D67" i="2"/>
  <c r="D66" i="2"/>
  <c r="D65" i="2"/>
  <c r="D64" i="2"/>
  <c r="D63" i="2"/>
  <c r="D62" i="2"/>
  <c r="D61" i="2"/>
  <c r="D60" i="2"/>
  <c r="D59" i="2"/>
  <c r="D58" i="2"/>
  <c r="D57" i="2"/>
  <c r="D56" i="2"/>
  <c r="D68" i="2" s="1"/>
  <c r="C63" i="2"/>
  <c r="N57" i="2" l="1"/>
  <c r="E68" i="2"/>
  <c r="N60" i="2"/>
  <c r="N61" i="2"/>
  <c r="N62" i="2"/>
  <c r="N56" i="2"/>
  <c r="B68" i="2"/>
  <c r="N63" i="2"/>
  <c r="N64" i="2"/>
  <c r="C68" i="2"/>
  <c r="N65" i="2"/>
  <c r="N66" i="2"/>
  <c r="N59" i="2"/>
  <c r="F68" i="2"/>
  <c r="G68" i="2"/>
  <c r="H68" i="2"/>
  <c r="N67" i="2"/>
  <c r="O56" i="2" l="1" a="1"/>
  <c r="O66" i="2" l="1"/>
  <c r="O65" i="2"/>
  <c r="O64" i="2"/>
  <c r="O63" i="2"/>
  <c r="O62" i="2"/>
  <c r="O61" i="2"/>
  <c r="O60" i="2"/>
  <c r="O59" i="2"/>
  <c r="O58" i="2"/>
  <c r="O57" i="2"/>
  <c r="O56" i="2"/>
  <c r="O67" i="2"/>
  <c r="Q67" i="2" l="1"/>
  <c r="P67" i="2"/>
  <c r="Q56" i="2"/>
  <c r="P56" i="2"/>
  <c r="Q57" i="2"/>
  <c r="P57" i="2"/>
  <c r="Q58" i="2"/>
  <c r="P58" i="2"/>
  <c r="P59" i="2"/>
  <c r="Q59" i="2"/>
  <c r="Q60" i="2"/>
  <c r="P60" i="2"/>
  <c r="P61" i="2"/>
  <c r="Q61" i="2"/>
  <c r="Q62" i="2"/>
  <c r="P62" i="2"/>
  <c r="Q63" i="2"/>
  <c r="P63" i="2"/>
  <c r="Q64" i="2"/>
  <c r="P64" i="2"/>
  <c r="Q65" i="2"/>
  <c r="P65" i="2"/>
  <c r="Q66" i="2"/>
  <c r="P66" i="2"/>
</calcChain>
</file>

<file path=xl/sharedStrings.xml><?xml version="1.0" encoding="utf-8"?>
<sst xmlns="http://schemas.openxmlformats.org/spreadsheetml/2006/main" count="235" uniqueCount="150">
  <si>
    <t>Quality</t>
    <phoneticPr fontId="1" type="noConversion"/>
  </si>
  <si>
    <t>Delivery</t>
    <phoneticPr fontId="1" type="noConversion"/>
  </si>
  <si>
    <t>Cost</t>
    <phoneticPr fontId="1" type="noConversion"/>
  </si>
  <si>
    <t>Sustainability</t>
    <phoneticPr fontId="1" type="noConversion"/>
  </si>
  <si>
    <t>品質</t>
    <phoneticPr fontId="1" type="noConversion"/>
  </si>
  <si>
    <t>交期</t>
    <phoneticPr fontId="1" type="noConversion"/>
  </si>
  <si>
    <t>成本</t>
    <phoneticPr fontId="1" type="noConversion"/>
  </si>
  <si>
    <t>永續</t>
    <phoneticPr fontId="1" type="noConversion"/>
  </si>
  <si>
    <t>標準化</t>
    <phoneticPr fontId="1" type="noConversion"/>
  </si>
  <si>
    <t>權重</t>
    <phoneticPr fontId="1" type="noConversion"/>
  </si>
  <si>
    <t>Supplier A</t>
    <phoneticPr fontId="1" type="noConversion"/>
  </si>
  <si>
    <t>Supplier B</t>
    <phoneticPr fontId="1" type="noConversion"/>
  </si>
  <si>
    <t>Supplier C</t>
    <phoneticPr fontId="1" type="noConversion"/>
  </si>
  <si>
    <t>評分</t>
    <phoneticPr fontId="1" type="noConversion"/>
  </si>
  <si>
    <t>D+</t>
    <phoneticPr fontId="1" type="noConversion"/>
  </si>
  <si>
    <t>D-</t>
    <phoneticPr fontId="1" type="noConversion"/>
  </si>
  <si>
    <t>Ratio</t>
    <phoneticPr fontId="1" type="noConversion"/>
  </si>
  <si>
    <t>Weight</t>
    <phoneticPr fontId="1" type="noConversion"/>
  </si>
  <si>
    <t>Rank</t>
    <phoneticPr fontId="1" type="noConversion"/>
  </si>
  <si>
    <t>#1</t>
    <phoneticPr fontId="1" type="noConversion"/>
  </si>
  <si>
    <t>#3</t>
    <phoneticPr fontId="1" type="noConversion"/>
  </si>
  <si>
    <t>#2</t>
    <phoneticPr fontId="1" type="noConversion"/>
  </si>
  <si>
    <t>PIS(正理想)</t>
    <phoneticPr fontId="1" type="noConversion"/>
  </si>
  <si>
    <t>NIS(負理想)</t>
    <phoneticPr fontId="1" type="noConversion"/>
  </si>
  <si>
    <t>Weighted Score</t>
    <phoneticPr fontId="1" type="noConversion"/>
  </si>
  <si>
    <t>TOPSIS</t>
    <phoneticPr fontId="1" type="noConversion"/>
  </si>
  <si>
    <t>AHP</t>
    <phoneticPr fontId="1" type="noConversion"/>
  </si>
  <si>
    <t>C1</t>
    <phoneticPr fontId="3" type="noConversion"/>
  </si>
  <si>
    <t>C2</t>
    <phoneticPr fontId="3" type="noConversion"/>
  </si>
  <si>
    <t>C3</t>
    <phoneticPr fontId="3" type="noConversion"/>
  </si>
  <si>
    <t>C4</t>
    <phoneticPr fontId="3" type="noConversion"/>
  </si>
  <si>
    <t>C5</t>
    <phoneticPr fontId="3" type="noConversion"/>
  </si>
  <si>
    <t>C6</t>
    <phoneticPr fontId="3" type="noConversion"/>
  </si>
  <si>
    <t>D1 CPU</t>
    <phoneticPr fontId="3" type="noConversion"/>
  </si>
  <si>
    <t>D2 ROM</t>
    <phoneticPr fontId="3" type="noConversion"/>
  </si>
  <si>
    <t>D3 OS</t>
    <phoneticPr fontId="3" type="noConversion"/>
  </si>
  <si>
    <t>D4 Screen</t>
    <phoneticPr fontId="3" type="noConversion"/>
  </si>
  <si>
    <t>D5 Camera</t>
    <phoneticPr fontId="3" type="noConversion"/>
  </si>
  <si>
    <t>D6 Battery</t>
    <phoneticPr fontId="3" type="noConversion"/>
  </si>
  <si>
    <t>C1 User interface</t>
    <phoneticPr fontId="3" type="noConversion"/>
  </si>
  <si>
    <t>C2 System performance</t>
    <phoneticPr fontId="3" type="noConversion"/>
  </si>
  <si>
    <t>C3 Response speed</t>
    <phoneticPr fontId="3" type="noConversion"/>
  </si>
  <si>
    <t>C4 Durability</t>
    <phoneticPr fontId="3" type="noConversion"/>
  </si>
  <si>
    <t>C5 Portability</t>
    <phoneticPr fontId="3" type="noConversion"/>
  </si>
  <si>
    <t>C6 Media</t>
    <phoneticPr fontId="3" type="noConversion"/>
  </si>
  <si>
    <t>D3 OS</t>
    <phoneticPr fontId="3" type="noConversion"/>
  </si>
  <si>
    <t>D5 Camera</t>
    <phoneticPr fontId="3" type="noConversion"/>
  </si>
  <si>
    <t>Normalize</t>
    <phoneticPr fontId="3" type="noConversion"/>
  </si>
  <si>
    <t>C1</t>
    <phoneticPr fontId="3" type="noConversion"/>
  </si>
  <si>
    <t>C4</t>
    <phoneticPr fontId="3" type="noConversion"/>
  </si>
  <si>
    <t>C5</t>
    <phoneticPr fontId="3" type="noConversion"/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</si>
  <si>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</si>
  <si>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</si>
  <si>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</si>
  <si>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</si>
  <si>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</si>
  <si>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</si>
  <si>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C1</t>
  </si>
  <si>
    <t>C2</t>
  </si>
  <si>
    <t>C3</t>
  </si>
  <si>
    <t>C4</t>
  </si>
  <si>
    <t>C5</t>
    <phoneticPr fontId="3" type="noConversion"/>
  </si>
  <si>
    <t>D1</t>
  </si>
  <si>
    <t>D2</t>
  </si>
  <si>
    <t>D3</t>
  </si>
  <si>
    <t>D4</t>
  </si>
  <si>
    <t>D5</t>
  </si>
  <si>
    <t>D6</t>
  </si>
  <si>
    <t>I-B</t>
    <phoneticPr fontId="3" type="noConversion"/>
  </si>
  <si>
    <t>D4</t>
    <phoneticPr fontId="3" type="noConversion"/>
  </si>
  <si>
    <t>D6</t>
    <phoneticPr fontId="3" type="noConversion"/>
  </si>
  <si>
    <t>C6</t>
    <phoneticPr fontId="3" type="noConversion"/>
  </si>
  <si>
    <t>Inverse</t>
    <phoneticPr fontId="3" type="noConversion"/>
  </si>
  <si>
    <t>C2</t>
    <phoneticPr fontId="3" type="noConversion"/>
  </si>
  <si>
    <t>D1</t>
    <phoneticPr fontId="3" type="noConversion"/>
  </si>
  <si>
    <t>D4</t>
    <phoneticPr fontId="3" type="noConversion"/>
  </si>
  <si>
    <t>C5</t>
    <phoneticPr fontId="3" type="noConversion"/>
  </si>
  <si>
    <t>Multiplication</t>
    <phoneticPr fontId="3" type="noConversion"/>
  </si>
  <si>
    <t>C1</t>
    <phoneticPr fontId="3" type="noConversion"/>
  </si>
  <si>
    <t>C3</t>
    <phoneticPr fontId="3" type="noConversion"/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</si>
  <si>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</si>
  <si>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</si>
  <si>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</si>
  <si>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</si>
  <si>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</si>
  <si>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</si>
  <si>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T</t>
    <phoneticPr fontId="3" type="noConversion"/>
  </si>
  <si>
    <t>R</t>
    <phoneticPr fontId="3" type="noConversion"/>
  </si>
  <si>
    <t>T+R</t>
    <phoneticPr fontId="3" type="noConversion"/>
  </si>
  <si>
    <t>T-R</t>
    <phoneticPr fontId="3" type="noConversion"/>
  </si>
  <si>
    <t>C6</t>
    <phoneticPr fontId="3" type="noConversion"/>
  </si>
  <si>
    <t>Tablet</t>
    <phoneticPr fontId="3" type="noConversion"/>
  </si>
  <si>
    <t>KANO</t>
    <phoneticPr fontId="3" type="noConversion"/>
  </si>
  <si>
    <t>A</t>
  </si>
  <si>
    <t>M</t>
  </si>
  <si>
    <t>O</t>
  </si>
  <si>
    <t>R</t>
  </si>
  <si>
    <t>I</t>
  </si>
  <si>
    <t>Q</t>
  </si>
  <si>
    <t>Check</t>
    <phoneticPr fontId="3" type="noConversion"/>
  </si>
  <si>
    <t>Delight</t>
  </si>
  <si>
    <t>Disgust</t>
  </si>
  <si>
    <t>Entropy</t>
    <phoneticPr fontId="3" type="noConversion"/>
  </si>
  <si>
    <t>1-entropy</t>
    <phoneticPr fontId="3" type="noConversion"/>
  </si>
  <si>
    <t>Weight</t>
  </si>
  <si>
    <t>Full</t>
    <phoneticPr fontId="3" type="noConversion"/>
  </si>
  <si>
    <t>A1</t>
  </si>
  <si>
    <t>GPS receiver (for position tracking)</t>
  </si>
  <si>
    <t>A2</t>
  </si>
  <si>
    <t>Chest strap (for measuring pulse rate)</t>
  </si>
  <si>
    <t>A3</t>
  </si>
  <si>
    <t>Wireless sensor (for safety monitoring)</t>
  </si>
  <si>
    <t>A4</t>
  </si>
  <si>
    <t>Supporting MP3</t>
  </si>
  <si>
    <t>A5</t>
  </si>
  <si>
    <t>Audio recording</t>
  </si>
  <si>
    <t>A6</t>
  </si>
  <si>
    <t>Digital compass</t>
  </si>
  <si>
    <t>A7</t>
  </si>
  <si>
    <t>Thermometer</t>
  </si>
  <si>
    <t>A8</t>
  </si>
  <si>
    <t>A9</t>
  </si>
  <si>
    <t>Solar-cell battery (for energy saving)</t>
  </si>
  <si>
    <t>A10</t>
  </si>
  <si>
    <t>Electronic paper display (for energy saving)</t>
  </si>
  <si>
    <t>BIP</t>
    <phoneticPr fontId="3" type="noConversion"/>
  </si>
  <si>
    <t>Cost</t>
    <phoneticPr fontId="3" type="noConversion"/>
  </si>
  <si>
    <t>Weight</t>
    <phoneticPr fontId="3" type="noConversion"/>
  </si>
  <si>
    <t>delight</t>
    <phoneticPr fontId="3" type="noConversion"/>
  </si>
  <si>
    <t>disgust</t>
    <phoneticPr fontId="3" type="noConversion"/>
  </si>
  <si>
    <t>Variable</t>
    <phoneticPr fontId="3" type="noConversion"/>
  </si>
  <si>
    <t>1-Variable</t>
    <phoneticPr fontId="3" type="noConversion"/>
  </si>
  <si>
    <t>Satisfaction</t>
    <phoneticPr fontId="3" type="noConversion"/>
  </si>
  <si>
    <t>Cost</t>
    <phoneticPr fontId="3" type="noConversion"/>
  </si>
  <si>
    <t>Low</t>
    <phoneticPr fontId="3" type="noConversion"/>
  </si>
  <si>
    <t>Medium</t>
    <phoneticPr fontId="3" type="noConversion"/>
  </si>
  <si>
    <t>High</t>
    <phoneticPr fontId="3" type="noConversion"/>
  </si>
  <si>
    <t>A11</t>
    <phoneticPr fontId="3" type="noConversion"/>
  </si>
  <si>
    <t>A12</t>
    <phoneticPr fontId="3" type="noConversion"/>
  </si>
  <si>
    <t>A13</t>
    <phoneticPr fontId="3" type="noConversion"/>
  </si>
  <si>
    <t>Fixed cost</t>
    <phoneticPr fontId="3" type="noConversion"/>
  </si>
  <si>
    <t>Delight</t>
    <phoneticPr fontId="1" type="noConversion"/>
  </si>
  <si>
    <t>Disgust</t>
    <phoneticPr fontId="1" type="noConversion"/>
  </si>
  <si>
    <t>Max</t>
    <phoneticPr fontId="1" type="noConversion"/>
  </si>
  <si>
    <t>Min</t>
    <phoneticPr fontId="1" type="noConversion"/>
  </si>
  <si>
    <t>Performance</t>
    <phoneticPr fontId="3" type="noConversion"/>
  </si>
  <si>
    <t>Goal</t>
    <phoneticPr fontId="1" type="noConversion"/>
  </si>
  <si>
    <t>Barometer</t>
    <phoneticPr fontId="1" type="noConversion"/>
  </si>
  <si>
    <t>delight</t>
    <phoneticPr fontId="1" type="noConversion"/>
  </si>
  <si>
    <t>disgust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</si>
</sst>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0_ "/>
    <numFmt numFmtId="178" formatCode="0.00_ 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indexed="12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0" xfId="0" applyFont="1" applyFill="1" applyBorder="1" applyAlignment="1">
      <alignment horizontal="justify" vertical="top" wrapText="1"/>
    </xf>
    <xf numFmtId="0" fontId="5" fillId="0" borderId="3" xfId="0" applyFont="1" applyFill="1" applyBorder="1" applyAlignment="1">
      <alignment horizontal="justify" vertical="top" wrapText="1"/>
    </xf>
    <xf numFmtId="177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9" fontId="7" fillId="0" borderId="2" xfId="0" applyNumberFormat="1" applyFont="1" applyBorder="1" applyAlignment="1">
      <alignment horizontal="center" vertical="center" wrapText="1"/>
    </xf>
    <xf numFmtId="9" fontId="7" fillId="0" borderId="6" xfId="0" applyNumberFormat="1" applyFont="1" applyBorder="1" applyAlignment="1">
      <alignment horizontal="center" vertical="center" wrapText="1"/>
    </xf>
    <xf numFmtId="178" fontId="7" fillId="0" borderId="6" xfId="0" applyNumberFormat="1" applyFont="1" applyBorder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9" fontId="7" fillId="0" borderId="3" xfId="0" applyNumberFormat="1" applyFont="1" applyBorder="1" applyAlignment="1">
      <alignment horizontal="center" vertical="center" wrapText="1"/>
    </xf>
    <xf numFmtId="9" fontId="7" fillId="0" borderId="5" xfId="0" applyNumberFormat="1" applyFont="1" applyBorder="1" applyAlignment="1">
      <alignment horizontal="center" vertical="center" wrapText="1"/>
    </xf>
    <xf numFmtId="9" fontId="7" fillId="0" borderId="7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3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 wrapText="1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altLang="zh-TW" sz="1200"/>
              <a:t>Caudal Effect Diagram</a:t>
            </a:r>
          </a:p>
        </c:rich>
      </c:tx>
      <c:layout>
        <c:manualLayout>
          <c:xMode val="edge"/>
          <c:yMode val="edge"/>
          <c:x val="0.41827513828812635"/>
          <c:y val="5.22662715940995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18798783573751"/>
          <c:y val="0.18815907227124087"/>
          <c:w val="0.73639992844551472"/>
          <c:h val="0.64113461662793192"/>
        </c:manualLayout>
      </c:layout>
      <c:scatterChart>
        <c:scatterStyle val="lineMarker"/>
        <c:varyColors val="0"/>
        <c:ser>
          <c:idx val="0"/>
          <c:order val="0"/>
          <c:tx>
            <c:v>MRs</c:v>
          </c:tx>
          <c:spPr>
            <a:ln w="28575">
              <a:noFill/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[1]Sheet2!$P$56:$P$61</c:f>
              <c:numCache>
                <c:formatCode>General</c:formatCode>
                <c:ptCount val="6"/>
                <c:pt idx="0">
                  <c:v>0.53333333333333333</c:v>
                </c:pt>
                <c:pt idx="1">
                  <c:v>0.73333333333333339</c:v>
                </c:pt>
                <c:pt idx="2">
                  <c:v>0.6</c:v>
                </c:pt>
                <c:pt idx="3">
                  <c:v>0.8</c:v>
                </c:pt>
                <c:pt idx="4">
                  <c:v>0.33333333333333331</c:v>
                </c:pt>
                <c:pt idx="5">
                  <c:v>0.66666666666666674</c:v>
                </c:pt>
              </c:numCache>
            </c:numRef>
          </c:xVal>
          <c:yVal>
            <c:numRef>
              <c:f>[1]Sheet2!$Q$56:$Q$61</c:f>
              <c:numCache>
                <c:formatCode>General</c:formatCode>
                <c:ptCount val="6"/>
                <c:pt idx="0">
                  <c:v>-0.53333333333333333</c:v>
                </c:pt>
                <c:pt idx="1">
                  <c:v>-0.73333333333333339</c:v>
                </c:pt>
                <c:pt idx="2">
                  <c:v>-0.6</c:v>
                </c:pt>
                <c:pt idx="3">
                  <c:v>-0.8</c:v>
                </c:pt>
                <c:pt idx="4">
                  <c:v>-0.33333333333333331</c:v>
                </c:pt>
                <c:pt idx="5">
                  <c:v>-0.66666666666666674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9-4387-9F35-F2EE8D1E571C}"/>
            </c:ext>
          </c:extLst>
        </c:ser>
        <c:ser>
          <c:idx val="1"/>
          <c:order val="1"/>
          <c:tx>
            <c:v>DAs</c:v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[1]Sheet2!$P$62:$P$67</c:f>
              <c:numCache>
                <c:formatCode>General</c:formatCode>
                <c:ptCount val="6"/>
                <c:pt idx="0">
                  <c:v>0.8666666666666667</c:v>
                </c:pt>
                <c:pt idx="1">
                  <c:v>0.66666666666666663</c:v>
                </c:pt>
                <c:pt idx="2">
                  <c:v>1</c:v>
                </c:pt>
                <c:pt idx="3">
                  <c:v>0.6</c:v>
                </c:pt>
                <c:pt idx="4">
                  <c:v>0.2</c:v>
                </c:pt>
                <c:pt idx="5">
                  <c:v>0.33333333333333331</c:v>
                </c:pt>
              </c:numCache>
            </c:numRef>
          </c:xVal>
          <c:yVal>
            <c:numRef>
              <c:f>[1]Sheet2!$Q$62:$Q$67</c:f>
              <c:numCache>
                <c:formatCode>General</c:formatCode>
                <c:ptCount val="6"/>
                <c:pt idx="0">
                  <c:v>0.8666666666666667</c:v>
                </c:pt>
                <c:pt idx="1">
                  <c:v>0.66666666666666663</c:v>
                </c:pt>
                <c:pt idx="2">
                  <c:v>1</c:v>
                </c:pt>
                <c:pt idx="3">
                  <c:v>0.6</c:v>
                </c:pt>
                <c:pt idx="4">
                  <c:v>0.2</c:v>
                </c:pt>
                <c:pt idx="5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19-4387-9F35-F2EE8D1E5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476384"/>
        <c:axId val="1"/>
      </c:scatterChart>
      <c:valAx>
        <c:axId val="206247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zh-TW" sz="1200"/>
                  <a:t>Prominence</a:t>
                </a:r>
              </a:p>
            </c:rich>
          </c:tx>
          <c:layout>
            <c:manualLayout>
              <c:xMode val="edge"/>
              <c:yMode val="edge"/>
              <c:x val="0.44478548428869075"/>
              <c:y val="0.86762252279440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altLang="zh-TW" sz="1200"/>
                  <a:t>Influence</a:t>
                </a:r>
              </a:p>
            </c:rich>
          </c:tx>
          <c:layout>
            <c:manualLayout>
              <c:xMode val="edge"/>
              <c:yMode val="edge"/>
              <c:x val="2.356483790041709E-2"/>
              <c:y val="0.414646949619102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62476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9840795673736651"/>
          <c:y val="0.37980264662039198"/>
          <c:w val="6.7748850981256159E-2"/>
          <c:h val="0.149830539475248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zh-TW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69</xdr:row>
      <xdr:rowOff>47625</xdr:rowOff>
    </xdr:from>
    <xdr:to>
      <xdr:col>7</xdr:col>
      <xdr:colOff>657225</xdr:colOff>
      <xdr:row>82</xdr:row>
      <xdr:rowOff>57150</xdr:rowOff>
    </xdr:to>
    <xdr:graphicFrame macro="">
      <xdr:nvGraphicFramePr>
        <xdr:cNvPr id="2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506;&#31243;/&#21830;&#26989;&#26234;&#24935;/Smart_PAD(DEMATE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56">
          <cell r="P56">
            <v>0.53333333333333333</v>
          </cell>
          <cell r="Q56">
            <v>-0.53333333333333333</v>
          </cell>
        </row>
        <row r="57">
          <cell r="P57">
            <v>0.73333333333333339</v>
          </cell>
          <cell r="Q57">
            <v>-0.73333333333333339</v>
          </cell>
        </row>
        <row r="58">
          <cell r="P58">
            <v>0.6</v>
          </cell>
          <cell r="Q58">
            <v>-0.6</v>
          </cell>
        </row>
        <row r="59">
          <cell r="P59">
            <v>0.8</v>
          </cell>
          <cell r="Q59">
            <v>-0.8</v>
          </cell>
        </row>
        <row r="60">
          <cell r="P60">
            <v>0.33333333333333331</v>
          </cell>
          <cell r="Q60">
            <v>-0.33333333333333331</v>
          </cell>
        </row>
        <row r="61">
          <cell r="P61">
            <v>0.66666666666666674</v>
          </cell>
          <cell r="Q61">
            <v>-0.66666666666666674</v>
          </cell>
        </row>
        <row r="62">
          <cell r="P62">
            <v>0.8666666666666667</v>
          </cell>
          <cell r="Q62">
            <v>0.8666666666666667</v>
          </cell>
        </row>
        <row r="63">
          <cell r="P63">
            <v>0.66666666666666663</v>
          </cell>
          <cell r="Q63">
            <v>0.66666666666666663</v>
          </cell>
        </row>
        <row r="64">
          <cell r="P64">
            <v>1</v>
          </cell>
          <cell r="Q64">
            <v>1</v>
          </cell>
        </row>
        <row r="65">
          <cell r="P65">
            <v>0.6</v>
          </cell>
          <cell r="Q65">
            <v>0.6</v>
          </cell>
        </row>
        <row r="66">
          <cell r="P66">
            <v>0.2</v>
          </cell>
          <cell r="Q66">
            <v>0.2</v>
          </cell>
        </row>
        <row r="67">
          <cell r="P67">
            <v>0.33333333333333331</v>
          </cell>
          <cell r="Q67">
            <v>0.33333333333333331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120" zoomScaleNormal="120" workbookViewId="0">
      <selection activeCell="L15" sqref="L15"/>
    </sheetView>
  </sheetViews>
  <sheetFormatPr defaultRowHeight="16.5" x14ac:dyDescent="0.25"/>
  <cols>
    <col min="1" max="1" width="11.875" customWidth="1"/>
  </cols>
  <sheetData>
    <row r="1" spans="1:11" x14ac:dyDescent="0.25">
      <c r="A1" t="s">
        <v>26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4</v>
      </c>
      <c r="H1" t="s">
        <v>5</v>
      </c>
      <c r="I1" t="s">
        <v>6</v>
      </c>
      <c r="J1" t="s">
        <v>7</v>
      </c>
      <c r="K1" t="s">
        <v>9</v>
      </c>
    </row>
    <row r="2" spans="1:11" x14ac:dyDescent="0.25">
      <c r="A2" t="s">
        <v>0</v>
      </c>
      <c r="B2" s="1">
        <v>1</v>
      </c>
      <c r="C2" s="1">
        <f>1/2</f>
        <v>0.5</v>
      </c>
      <c r="D2" s="1">
        <v>2</v>
      </c>
      <c r="E2" s="1">
        <v>2</v>
      </c>
      <c r="G2">
        <f>B2/B$6</f>
        <v>0.25</v>
      </c>
      <c r="H2">
        <f t="shared" ref="H2:J5" si="0">C2/C$6</f>
        <v>0.24</v>
      </c>
      <c r="I2">
        <f t="shared" si="0"/>
        <v>0.25</v>
      </c>
      <c r="J2">
        <f t="shared" si="0"/>
        <v>0.2857142857142857</v>
      </c>
      <c r="K2">
        <f>AVERAGE(G2:J2)</f>
        <v>0.25642857142857145</v>
      </c>
    </row>
    <row r="3" spans="1:11" x14ac:dyDescent="0.25">
      <c r="A3" t="s">
        <v>1</v>
      </c>
      <c r="B3" s="1">
        <v>2</v>
      </c>
      <c r="C3" s="1">
        <v>1</v>
      </c>
      <c r="D3" s="1">
        <v>4</v>
      </c>
      <c r="E3" s="1">
        <v>3</v>
      </c>
      <c r="G3">
        <f t="shared" ref="G3:G5" si="1">B3/B$6</f>
        <v>0.5</v>
      </c>
      <c r="H3">
        <f t="shared" si="0"/>
        <v>0.48</v>
      </c>
      <c r="I3">
        <f t="shared" si="0"/>
        <v>0.5</v>
      </c>
      <c r="J3">
        <f t="shared" si="0"/>
        <v>0.42857142857142855</v>
      </c>
      <c r="K3">
        <f t="shared" ref="K3:K5" si="2">AVERAGE(G3:J3)</f>
        <v>0.47714285714285715</v>
      </c>
    </row>
    <row r="4" spans="1:11" x14ac:dyDescent="0.25">
      <c r="A4" t="s">
        <v>2</v>
      </c>
      <c r="B4" s="1">
        <f>1/2</f>
        <v>0.5</v>
      </c>
      <c r="C4" s="1">
        <f>1/4</f>
        <v>0.25</v>
      </c>
      <c r="D4" s="1">
        <v>1</v>
      </c>
      <c r="E4" s="1">
        <v>1</v>
      </c>
      <c r="G4">
        <f t="shared" si="1"/>
        <v>0.125</v>
      </c>
      <c r="H4">
        <f t="shared" si="0"/>
        <v>0.12</v>
      </c>
      <c r="I4">
        <f t="shared" si="0"/>
        <v>0.125</v>
      </c>
      <c r="J4">
        <f t="shared" si="0"/>
        <v>0.14285714285714285</v>
      </c>
      <c r="K4">
        <f t="shared" si="2"/>
        <v>0.12821428571428573</v>
      </c>
    </row>
    <row r="5" spans="1:11" x14ac:dyDescent="0.25">
      <c r="A5" t="s">
        <v>3</v>
      </c>
      <c r="B5" s="1">
        <f>1/2</f>
        <v>0.5</v>
      </c>
      <c r="C5" s="1">
        <f>1/3</f>
        <v>0.33333333333333331</v>
      </c>
      <c r="D5" s="1">
        <v>1</v>
      </c>
      <c r="E5" s="1">
        <v>1</v>
      </c>
      <c r="G5">
        <f t="shared" si="1"/>
        <v>0.125</v>
      </c>
      <c r="H5">
        <f t="shared" si="0"/>
        <v>0.15999999999999998</v>
      </c>
      <c r="I5">
        <f t="shared" si="0"/>
        <v>0.125</v>
      </c>
      <c r="J5">
        <f t="shared" si="0"/>
        <v>0.14285714285714285</v>
      </c>
      <c r="K5">
        <f t="shared" si="2"/>
        <v>0.13821428571428571</v>
      </c>
    </row>
    <row r="6" spans="1:11" x14ac:dyDescent="0.25">
      <c r="B6" s="1">
        <f>SUM(B2:B5)</f>
        <v>4</v>
      </c>
      <c r="C6" s="1">
        <f t="shared" ref="C6:E6" si="3">SUM(C2:C5)</f>
        <v>2.0833333333333335</v>
      </c>
      <c r="D6" s="1">
        <f t="shared" si="3"/>
        <v>8</v>
      </c>
      <c r="E6" s="1">
        <f t="shared" si="3"/>
        <v>7</v>
      </c>
      <c r="K6">
        <f>SUM(K2:K5)</f>
        <v>1</v>
      </c>
    </row>
    <row r="8" spans="1:11" x14ac:dyDescent="0.25">
      <c r="A8" t="s">
        <v>13</v>
      </c>
      <c r="B8" t="s">
        <v>4</v>
      </c>
      <c r="C8" t="s">
        <v>5</v>
      </c>
      <c r="D8" t="s">
        <v>6</v>
      </c>
      <c r="E8" t="s">
        <v>7</v>
      </c>
      <c r="F8" t="s">
        <v>25</v>
      </c>
      <c r="G8" t="s">
        <v>14</v>
      </c>
      <c r="H8" t="s">
        <v>15</v>
      </c>
      <c r="I8" t="s">
        <v>16</v>
      </c>
      <c r="J8" t="s">
        <v>18</v>
      </c>
      <c r="K8" t="s">
        <v>24</v>
      </c>
    </row>
    <row r="9" spans="1:11" x14ac:dyDescent="0.25">
      <c r="A9" t="s">
        <v>10</v>
      </c>
      <c r="B9">
        <v>5</v>
      </c>
      <c r="C9">
        <v>3</v>
      </c>
      <c r="D9">
        <v>3</v>
      </c>
      <c r="E9">
        <v>3</v>
      </c>
      <c r="F9" t="s">
        <v>10</v>
      </c>
      <c r="G9">
        <f>SQRT(B$14*(B9-B$12)^2+C$14*(C9-C$12)^2+D$14*(D9-D$12)^2+E$14*(E9-E$12)^2)</f>
        <v>1.5998883889643232</v>
      </c>
      <c r="H9">
        <f>SQRT(B$14*(B9-B$13)^2+C$14*(C9-C$13)^2+D$14*(D9-D$13)^2+E$14*(E9-E$13)^2)</f>
        <v>1.720153647622378</v>
      </c>
      <c r="I9">
        <f>H9/(H9+G9)</f>
        <v>0.51811200842229366</v>
      </c>
      <c r="J9" t="s">
        <v>20</v>
      </c>
      <c r="K9">
        <f>SUMPRODUCT(B9:E9,B$14:E$14)</f>
        <v>3.5128571428571433</v>
      </c>
    </row>
    <row r="10" spans="1:11" x14ac:dyDescent="0.25">
      <c r="A10" t="s">
        <v>11</v>
      </c>
      <c r="B10">
        <v>4</v>
      </c>
      <c r="C10">
        <v>5</v>
      </c>
      <c r="D10">
        <v>1</v>
      </c>
      <c r="E10">
        <v>4</v>
      </c>
      <c r="F10" t="s">
        <v>11</v>
      </c>
      <c r="G10">
        <f t="shared" ref="G10:G11" si="4">SQRT(B$14*(B10-B$12)^2+C$14*(C10-C$12)^2+D$14*(D10-D$12)^2+E$14*(E10-E$12)^2)</f>
        <v>1.5191633035513803</v>
      </c>
      <c r="H10">
        <f t="shared" ref="H10:H11" si="5">SQRT((B10-B$13)^2+(C10-C$13)^2+(D10-D$13)^2+(E10-E$13)^2)</f>
        <v>3.4641016151377544</v>
      </c>
      <c r="I10">
        <f t="shared" ref="I10:I11" si="6">H10/(H10+G10)</f>
        <v>0.69514699131207303</v>
      </c>
      <c r="J10" t="s">
        <v>19</v>
      </c>
      <c r="K10">
        <f t="shared" ref="K10:K11" si="7">SUMPRODUCT(B10:E10,B$14:E$14)</f>
        <v>4.0925000000000002</v>
      </c>
    </row>
    <row r="11" spans="1:11" x14ac:dyDescent="0.25">
      <c r="A11" t="s">
        <v>12</v>
      </c>
      <c r="B11">
        <v>2</v>
      </c>
      <c r="C11">
        <v>4</v>
      </c>
      <c r="D11">
        <v>5</v>
      </c>
      <c r="E11">
        <v>2</v>
      </c>
      <c r="F11" t="s">
        <v>12</v>
      </c>
      <c r="G11">
        <f t="shared" si="4"/>
        <v>1.8269803345567635</v>
      </c>
      <c r="H11">
        <f t="shared" si="5"/>
        <v>4.1231056256176606</v>
      </c>
      <c r="I11">
        <f t="shared" si="6"/>
        <v>0.69294891758114929</v>
      </c>
      <c r="J11" t="s">
        <v>21</v>
      </c>
      <c r="K11">
        <f t="shared" si="7"/>
        <v>3.3389285714285717</v>
      </c>
    </row>
    <row r="12" spans="1:11" x14ac:dyDescent="0.25">
      <c r="A12" t="s">
        <v>22</v>
      </c>
      <c r="B12">
        <f>MAX(B9:B11)</f>
        <v>5</v>
      </c>
      <c r="C12">
        <f t="shared" ref="C12:E12" si="8">MAX(C9:C11)</f>
        <v>5</v>
      </c>
      <c r="D12">
        <f t="shared" si="8"/>
        <v>5</v>
      </c>
      <c r="E12">
        <f t="shared" si="8"/>
        <v>4</v>
      </c>
    </row>
    <row r="13" spans="1:11" x14ac:dyDescent="0.25">
      <c r="A13" t="s">
        <v>23</v>
      </c>
      <c r="B13">
        <f>MIN(B9:B11)</f>
        <v>2</v>
      </c>
      <c r="C13">
        <f t="shared" ref="C13:E13" si="9">MIN(C9:C11)</f>
        <v>3</v>
      </c>
      <c r="D13">
        <f t="shared" si="9"/>
        <v>1</v>
      </c>
      <c r="E13">
        <f t="shared" si="9"/>
        <v>2</v>
      </c>
    </row>
    <row r="14" spans="1:11" x14ac:dyDescent="0.25">
      <c r="A14" t="s">
        <v>17</v>
      </c>
      <c r="B14">
        <f>K2</f>
        <v>0.25642857142857145</v>
      </c>
      <c r="C14">
        <f>K3</f>
        <v>0.47714285714285715</v>
      </c>
      <c r="D14">
        <f>K4</f>
        <v>0.12821428571428573</v>
      </c>
      <c r="E14">
        <f>K5</f>
        <v>0.13821428571428571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workbookViewId="0">
      <selection activeCell="K70" sqref="K70"/>
    </sheetView>
  </sheetViews>
  <sheetFormatPr defaultColWidth="13.125" defaultRowHeight="16.5" x14ac:dyDescent="0.25"/>
  <cols>
    <col min="1" max="1" width="12.25" customWidth="1"/>
  </cols>
  <sheetData>
    <row r="1" spans="1:14" ht="17.25" thickBot="1" x14ac:dyDescent="0.3">
      <c r="A1" s="2" t="s">
        <v>91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4" ht="32.25" thickBot="1" x14ac:dyDescent="0.3">
      <c r="A2" s="3" t="s">
        <v>39</v>
      </c>
      <c r="N2">
        <f>SUM(B2:M2)</f>
        <v>0</v>
      </c>
    </row>
    <row r="3" spans="1:14" ht="32.25" thickBot="1" x14ac:dyDescent="0.3">
      <c r="A3" s="4" t="s">
        <v>40</v>
      </c>
      <c r="N3">
        <f t="shared" ref="N3:N13" si="0">SUM(B3:M3)</f>
        <v>0</v>
      </c>
    </row>
    <row r="4" spans="1:14" ht="32.25" thickBot="1" x14ac:dyDescent="0.3">
      <c r="A4" s="4" t="s">
        <v>41</v>
      </c>
      <c r="N4">
        <f t="shared" si="0"/>
        <v>0</v>
      </c>
    </row>
    <row r="5" spans="1:14" ht="17.25" thickBot="1" x14ac:dyDescent="0.3">
      <c r="A5" s="4" t="s">
        <v>42</v>
      </c>
      <c r="N5">
        <f t="shared" si="0"/>
        <v>0</v>
      </c>
    </row>
    <row r="6" spans="1:14" ht="17.25" thickBot="1" x14ac:dyDescent="0.3">
      <c r="A6" s="4" t="s">
        <v>43</v>
      </c>
      <c r="N6">
        <f t="shared" si="0"/>
        <v>0</v>
      </c>
    </row>
    <row r="7" spans="1:14" ht="20.25" customHeight="1" thickBot="1" x14ac:dyDescent="0.3">
      <c r="A7" s="4" t="s">
        <v>44</v>
      </c>
      <c r="N7">
        <f t="shared" si="0"/>
        <v>0</v>
      </c>
    </row>
    <row r="8" spans="1:14" ht="17.25" thickBot="1" x14ac:dyDescent="0.3">
      <c r="A8" s="5" t="s">
        <v>33</v>
      </c>
      <c r="B8">
        <v>0</v>
      </c>
      <c r="C8">
        <v>5</v>
      </c>
      <c r="D8">
        <v>3</v>
      </c>
      <c r="E8">
        <v>2</v>
      </c>
      <c r="F8">
        <v>0</v>
      </c>
      <c r="G8">
        <v>3</v>
      </c>
      <c r="N8">
        <f t="shared" si="0"/>
        <v>13</v>
      </c>
    </row>
    <row r="9" spans="1:14" ht="17.25" thickBot="1" x14ac:dyDescent="0.3">
      <c r="A9" s="4" t="s">
        <v>34</v>
      </c>
      <c r="B9">
        <v>1</v>
      </c>
      <c r="C9">
        <v>3</v>
      </c>
      <c r="D9">
        <v>4</v>
      </c>
      <c r="E9">
        <v>0</v>
      </c>
      <c r="F9">
        <v>0</v>
      </c>
      <c r="G9">
        <v>2</v>
      </c>
      <c r="N9">
        <f t="shared" si="0"/>
        <v>10</v>
      </c>
    </row>
    <row r="10" spans="1:14" ht="17.25" thickBot="1" x14ac:dyDescent="0.3">
      <c r="A10" s="4" t="s">
        <v>45</v>
      </c>
      <c r="B10">
        <v>5</v>
      </c>
      <c r="C10">
        <v>3</v>
      </c>
      <c r="D10">
        <v>2</v>
      </c>
      <c r="E10">
        <v>3</v>
      </c>
      <c r="F10">
        <v>0</v>
      </c>
      <c r="G10">
        <v>2</v>
      </c>
      <c r="N10">
        <f t="shared" si="0"/>
        <v>15</v>
      </c>
    </row>
    <row r="11" spans="1:14" ht="17.25" thickBot="1" x14ac:dyDescent="0.3">
      <c r="A11" s="4" t="s">
        <v>36</v>
      </c>
      <c r="B11">
        <v>2</v>
      </c>
      <c r="C11">
        <v>0</v>
      </c>
      <c r="D11">
        <v>0</v>
      </c>
      <c r="E11">
        <v>2</v>
      </c>
      <c r="F11">
        <v>5</v>
      </c>
      <c r="G11">
        <v>0</v>
      </c>
      <c r="N11">
        <f t="shared" si="0"/>
        <v>9</v>
      </c>
    </row>
    <row r="12" spans="1:14" ht="17.25" thickBot="1" x14ac:dyDescent="0.3">
      <c r="A12" s="4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N12">
        <f t="shared" si="0"/>
        <v>3</v>
      </c>
    </row>
    <row r="13" spans="1:14" ht="17.25" thickBot="1" x14ac:dyDescent="0.3">
      <c r="A13" s="4" t="s">
        <v>38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N13">
        <f t="shared" si="0"/>
        <v>5</v>
      </c>
    </row>
    <row r="14" spans="1:14" x14ac:dyDescent="0.25">
      <c r="B14">
        <f>SUM(B2:B13)</f>
        <v>8</v>
      </c>
      <c r="C14">
        <f t="shared" ref="C14:M14" si="1">SUM(C2:C13)</f>
        <v>11</v>
      </c>
      <c r="D14">
        <f t="shared" si="1"/>
        <v>9</v>
      </c>
      <c r="E14">
        <f t="shared" si="1"/>
        <v>12</v>
      </c>
      <c r="F14">
        <f t="shared" si="1"/>
        <v>5</v>
      </c>
      <c r="G14">
        <f t="shared" si="1"/>
        <v>10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N14">
        <f>MAX(MAX(B14:M14),MAX(N2:N13))</f>
        <v>15</v>
      </c>
    </row>
    <row r="15" spans="1:14" ht="17.25" thickBot="1" x14ac:dyDescent="0.3">
      <c r="A15" s="2" t="s">
        <v>47</v>
      </c>
      <c r="B15" t="s">
        <v>48</v>
      </c>
      <c r="C15" t="s">
        <v>28</v>
      </c>
      <c r="D15" t="s">
        <v>29</v>
      </c>
      <c r="E15" t="s">
        <v>49</v>
      </c>
      <c r="F15" t="s">
        <v>50</v>
      </c>
      <c r="G15" t="s">
        <v>32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</row>
    <row r="16" spans="1:14" ht="17.25" thickBot="1" x14ac:dyDescent="0.3">
      <c r="A16" s="5" t="s">
        <v>57</v>
      </c>
      <c r="B16">
        <f>B2/$N$14</f>
        <v>0</v>
      </c>
      <c r="C16">
        <f t="shared" ref="C16:M16" si="2">C2/$N$14</f>
        <v>0</v>
      </c>
      <c r="D16">
        <f t="shared" si="2"/>
        <v>0</v>
      </c>
      <c r="E16">
        <f t="shared" si="2"/>
        <v>0</v>
      </c>
      <c r="F16">
        <f t="shared" si="2"/>
        <v>0</v>
      </c>
      <c r="G16">
        <f t="shared" si="2"/>
        <v>0</v>
      </c>
      <c r="H16">
        <f t="shared" si="2"/>
        <v>0</v>
      </c>
      <c r="I16">
        <f t="shared" si="2"/>
        <v>0</v>
      </c>
      <c r="J16">
        <f t="shared" si="2"/>
        <v>0</v>
      </c>
      <c r="K16">
        <f t="shared" si="2"/>
        <v>0</v>
      </c>
      <c r="L16">
        <f t="shared" si="2"/>
        <v>0</v>
      </c>
      <c r="M16">
        <f t="shared" si="2"/>
        <v>0</v>
      </c>
    </row>
    <row r="17" spans="1:13" ht="17.25" thickBot="1" x14ac:dyDescent="0.3">
      <c r="A17" s="4" t="s">
        <v>58</v>
      </c>
      <c r="B17">
        <f t="shared" ref="B17:M27" si="3">B3/$N$14</f>
        <v>0</v>
      </c>
      <c r="C17">
        <f t="shared" si="3"/>
        <v>0</v>
      </c>
      <c r="D17">
        <f t="shared" si="3"/>
        <v>0</v>
      </c>
      <c r="E17">
        <f t="shared" si="3"/>
        <v>0</v>
      </c>
      <c r="F17">
        <f t="shared" si="3"/>
        <v>0</v>
      </c>
      <c r="G17">
        <f t="shared" si="3"/>
        <v>0</v>
      </c>
      <c r="H17">
        <f t="shared" si="3"/>
        <v>0</v>
      </c>
      <c r="I17">
        <f t="shared" si="3"/>
        <v>0</v>
      </c>
      <c r="J17">
        <f t="shared" si="3"/>
        <v>0</v>
      </c>
      <c r="K17">
        <f t="shared" si="3"/>
        <v>0</v>
      </c>
      <c r="L17">
        <f t="shared" si="3"/>
        <v>0</v>
      </c>
      <c r="M17">
        <f t="shared" si="3"/>
        <v>0</v>
      </c>
    </row>
    <row r="18" spans="1:13" ht="17.25" thickBot="1" x14ac:dyDescent="0.3">
      <c r="A18" s="4" t="s">
        <v>59</v>
      </c>
      <c r="B18">
        <f t="shared" si="3"/>
        <v>0</v>
      </c>
      <c r="C18">
        <f t="shared" si="3"/>
        <v>0</v>
      </c>
      <c r="D18">
        <f t="shared" si="3"/>
        <v>0</v>
      </c>
      <c r="E18">
        <f t="shared" si="3"/>
        <v>0</v>
      </c>
      <c r="F18">
        <f t="shared" si="3"/>
        <v>0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0</v>
      </c>
      <c r="K18">
        <f t="shared" si="3"/>
        <v>0</v>
      </c>
      <c r="L18">
        <f t="shared" si="3"/>
        <v>0</v>
      </c>
      <c r="M18">
        <f t="shared" si="3"/>
        <v>0</v>
      </c>
    </row>
    <row r="19" spans="1:13" ht="17.25" thickBot="1" x14ac:dyDescent="0.3">
      <c r="A19" s="4" t="s">
        <v>60</v>
      </c>
      <c r="B19">
        <f t="shared" si="3"/>
        <v>0</v>
      </c>
      <c r="C19">
        <f t="shared" si="3"/>
        <v>0</v>
      </c>
      <c r="D19">
        <f t="shared" si="3"/>
        <v>0</v>
      </c>
      <c r="E19">
        <f t="shared" si="3"/>
        <v>0</v>
      </c>
      <c r="F19">
        <f t="shared" si="3"/>
        <v>0</v>
      </c>
      <c r="G19">
        <f t="shared" si="3"/>
        <v>0</v>
      </c>
      <c r="H19">
        <f t="shared" si="3"/>
        <v>0</v>
      </c>
      <c r="I19">
        <f t="shared" si="3"/>
        <v>0</v>
      </c>
      <c r="J19">
        <f t="shared" si="3"/>
        <v>0</v>
      </c>
      <c r="K19">
        <f t="shared" si="3"/>
        <v>0</v>
      </c>
      <c r="L19">
        <f t="shared" si="3"/>
        <v>0</v>
      </c>
      <c r="M19">
        <f t="shared" si="3"/>
        <v>0</v>
      </c>
    </row>
    <row r="20" spans="1:13" x14ac:dyDescent="0.25">
      <c r="A20" s="6" t="s">
        <v>61</v>
      </c>
      <c r="B20">
        <f t="shared" si="3"/>
        <v>0</v>
      </c>
      <c r="C20">
        <f t="shared" si="3"/>
        <v>0</v>
      </c>
      <c r="D20">
        <f t="shared" si="3"/>
        <v>0</v>
      </c>
      <c r="E20">
        <f t="shared" si="3"/>
        <v>0</v>
      </c>
      <c r="F20">
        <f t="shared" si="3"/>
        <v>0</v>
      </c>
      <c r="G20">
        <f t="shared" si="3"/>
        <v>0</v>
      </c>
      <c r="H20">
        <f t="shared" si="3"/>
        <v>0</v>
      </c>
      <c r="I20">
        <f t="shared" si="3"/>
        <v>0</v>
      </c>
      <c r="J20">
        <f t="shared" si="3"/>
        <v>0</v>
      </c>
      <c r="K20">
        <f t="shared" si="3"/>
        <v>0</v>
      </c>
      <c r="L20">
        <f t="shared" si="3"/>
        <v>0</v>
      </c>
      <c r="M20">
        <f t="shared" si="3"/>
        <v>0</v>
      </c>
    </row>
    <row r="21" spans="1:13" ht="17.25" thickBot="1" x14ac:dyDescent="0.3">
      <c r="A21" s="6" t="s">
        <v>32</v>
      </c>
      <c r="B21">
        <f t="shared" si="3"/>
        <v>0</v>
      </c>
      <c r="C21">
        <f t="shared" si="3"/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3"/>
        <v>0</v>
      </c>
      <c r="M21">
        <f t="shared" si="3"/>
        <v>0</v>
      </c>
    </row>
    <row r="22" spans="1:13" ht="17.25" thickBot="1" x14ac:dyDescent="0.3">
      <c r="A22" s="5" t="s">
        <v>62</v>
      </c>
      <c r="B22">
        <f t="shared" si="3"/>
        <v>0</v>
      </c>
      <c r="C22">
        <f t="shared" si="3"/>
        <v>0.33333333333333331</v>
      </c>
      <c r="D22">
        <f t="shared" si="3"/>
        <v>0.2</v>
      </c>
      <c r="E22">
        <f t="shared" si="3"/>
        <v>0.13333333333333333</v>
      </c>
      <c r="F22">
        <f t="shared" si="3"/>
        <v>0</v>
      </c>
      <c r="G22">
        <f t="shared" si="3"/>
        <v>0.2</v>
      </c>
      <c r="H22">
        <f t="shared" si="3"/>
        <v>0</v>
      </c>
      <c r="I22">
        <f t="shared" si="3"/>
        <v>0</v>
      </c>
      <c r="J22">
        <f t="shared" si="3"/>
        <v>0</v>
      </c>
      <c r="K22">
        <f t="shared" si="3"/>
        <v>0</v>
      </c>
      <c r="L22">
        <f t="shared" si="3"/>
        <v>0</v>
      </c>
      <c r="M22">
        <f t="shared" si="3"/>
        <v>0</v>
      </c>
    </row>
    <row r="23" spans="1:13" ht="17.25" thickBot="1" x14ac:dyDescent="0.3">
      <c r="A23" s="4" t="s">
        <v>63</v>
      </c>
      <c r="B23">
        <f t="shared" si="3"/>
        <v>6.6666666666666666E-2</v>
      </c>
      <c r="C23">
        <f t="shared" si="3"/>
        <v>0.2</v>
      </c>
      <c r="D23">
        <f t="shared" si="3"/>
        <v>0.26666666666666666</v>
      </c>
      <c r="E23">
        <f t="shared" si="3"/>
        <v>0</v>
      </c>
      <c r="F23">
        <f t="shared" si="3"/>
        <v>0</v>
      </c>
      <c r="G23">
        <f t="shared" si="3"/>
        <v>0.13333333333333333</v>
      </c>
      <c r="H23">
        <f t="shared" si="3"/>
        <v>0</v>
      </c>
      <c r="I23">
        <f t="shared" si="3"/>
        <v>0</v>
      </c>
      <c r="J23">
        <f t="shared" si="3"/>
        <v>0</v>
      </c>
      <c r="K23">
        <f t="shared" si="3"/>
        <v>0</v>
      </c>
      <c r="L23">
        <f t="shared" si="3"/>
        <v>0</v>
      </c>
      <c r="M23">
        <f t="shared" si="3"/>
        <v>0</v>
      </c>
    </row>
    <row r="24" spans="1:13" ht="17.25" thickBot="1" x14ac:dyDescent="0.3">
      <c r="A24" s="4" t="s">
        <v>64</v>
      </c>
      <c r="B24">
        <f t="shared" si="3"/>
        <v>0.33333333333333331</v>
      </c>
      <c r="C24">
        <f t="shared" si="3"/>
        <v>0.2</v>
      </c>
      <c r="D24">
        <f t="shared" si="3"/>
        <v>0.13333333333333333</v>
      </c>
      <c r="E24">
        <f t="shared" si="3"/>
        <v>0.2</v>
      </c>
      <c r="F24">
        <f t="shared" si="3"/>
        <v>0</v>
      </c>
      <c r="G24">
        <f t="shared" si="3"/>
        <v>0.13333333333333333</v>
      </c>
      <c r="H24">
        <f t="shared" si="3"/>
        <v>0</v>
      </c>
      <c r="I24">
        <f t="shared" si="3"/>
        <v>0</v>
      </c>
      <c r="J24">
        <f t="shared" si="3"/>
        <v>0</v>
      </c>
      <c r="K24">
        <f t="shared" si="3"/>
        <v>0</v>
      </c>
      <c r="L24">
        <f t="shared" si="3"/>
        <v>0</v>
      </c>
      <c r="M24">
        <f t="shared" si="3"/>
        <v>0</v>
      </c>
    </row>
    <row r="25" spans="1:13" ht="17.25" thickBot="1" x14ac:dyDescent="0.3">
      <c r="A25" s="4" t="s">
        <v>65</v>
      </c>
      <c r="B25">
        <f t="shared" si="3"/>
        <v>0.13333333333333333</v>
      </c>
      <c r="C25">
        <f t="shared" si="3"/>
        <v>0</v>
      </c>
      <c r="D25">
        <f t="shared" si="3"/>
        <v>0</v>
      </c>
      <c r="E25">
        <f t="shared" si="3"/>
        <v>0.13333333333333333</v>
      </c>
      <c r="F25">
        <f t="shared" si="3"/>
        <v>0.33333333333333331</v>
      </c>
      <c r="G25">
        <f t="shared" si="3"/>
        <v>0</v>
      </c>
      <c r="H25">
        <f t="shared" si="3"/>
        <v>0</v>
      </c>
      <c r="I25">
        <f t="shared" si="3"/>
        <v>0</v>
      </c>
      <c r="J25">
        <f t="shared" si="3"/>
        <v>0</v>
      </c>
      <c r="K25">
        <f t="shared" si="3"/>
        <v>0</v>
      </c>
      <c r="L25">
        <f t="shared" si="3"/>
        <v>0</v>
      </c>
      <c r="M25">
        <f t="shared" si="3"/>
        <v>0</v>
      </c>
    </row>
    <row r="26" spans="1:13" ht="17.25" thickBot="1" x14ac:dyDescent="0.3">
      <c r="A26" s="4" t="s">
        <v>66</v>
      </c>
      <c r="B26">
        <f t="shared" si="3"/>
        <v>0</v>
      </c>
      <c r="C26">
        <f t="shared" si="3"/>
        <v>0</v>
      </c>
      <c r="D26">
        <f t="shared" si="3"/>
        <v>0</v>
      </c>
      <c r="E26">
        <f t="shared" si="3"/>
        <v>0</v>
      </c>
      <c r="F26">
        <f t="shared" si="3"/>
        <v>0</v>
      </c>
      <c r="G26">
        <f t="shared" si="3"/>
        <v>0.2</v>
      </c>
      <c r="H26">
        <f t="shared" si="3"/>
        <v>0</v>
      </c>
      <c r="I26">
        <f t="shared" si="3"/>
        <v>0</v>
      </c>
      <c r="J26">
        <f t="shared" si="3"/>
        <v>0</v>
      </c>
      <c r="K26">
        <f t="shared" si="3"/>
        <v>0</v>
      </c>
      <c r="L26">
        <f t="shared" si="3"/>
        <v>0</v>
      </c>
      <c r="M26">
        <f t="shared" si="3"/>
        <v>0</v>
      </c>
    </row>
    <row r="27" spans="1:13" ht="17.25" thickBot="1" x14ac:dyDescent="0.3">
      <c r="A27" s="4" t="s">
        <v>67</v>
      </c>
      <c r="B27">
        <f t="shared" si="3"/>
        <v>0</v>
      </c>
      <c r="C27">
        <f t="shared" si="3"/>
        <v>0</v>
      </c>
      <c r="D27">
        <f t="shared" si="3"/>
        <v>0</v>
      </c>
      <c r="E27">
        <f t="shared" si="3"/>
        <v>0.33333333333333331</v>
      </c>
      <c r="F27">
        <f t="shared" si="3"/>
        <v>0</v>
      </c>
      <c r="G27">
        <f t="shared" si="3"/>
        <v>0</v>
      </c>
      <c r="H27">
        <f t="shared" si="3"/>
        <v>0</v>
      </c>
      <c r="I27">
        <f t="shared" si="3"/>
        <v>0</v>
      </c>
      <c r="J27">
        <f t="shared" si="3"/>
        <v>0</v>
      </c>
      <c r="K27">
        <f t="shared" si="3"/>
        <v>0</v>
      </c>
      <c r="L27">
        <f t="shared" si="3"/>
        <v>0</v>
      </c>
      <c r="M27">
        <f t="shared" si="3"/>
        <v>0</v>
      </c>
    </row>
    <row r="29" spans="1:13" ht="17.25" thickBot="1" x14ac:dyDescent="0.3">
      <c r="A29" s="2" t="s">
        <v>68</v>
      </c>
      <c r="B29" t="s">
        <v>48</v>
      </c>
      <c r="C29" t="s">
        <v>28</v>
      </c>
      <c r="D29" t="s">
        <v>29</v>
      </c>
      <c r="E29" t="s">
        <v>49</v>
      </c>
      <c r="F29" t="s">
        <v>61</v>
      </c>
      <c r="G29" t="s">
        <v>32</v>
      </c>
      <c r="H29" t="s">
        <v>51</v>
      </c>
      <c r="I29" t="s">
        <v>52</v>
      </c>
      <c r="J29" t="s">
        <v>53</v>
      </c>
      <c r="K29" t="s">
        <v>69</v>
      </c>
      <c r="L29" t="s">
        <v>55</v>
      </c>
      <c r="M29" t="s">
        <v>70</v>
      </c>
    </row>
    <row r="30" spans="1:13" ht="17.25" thickBot="1" x14ac:dyDescent="0.3">
      <c r="A30" s="5" t="s">
        <v>57</v>
      </c>
      <c r="B30">
        <v>1</v>
      </c>
      <c r="C30">
        <f t="shared" ref="C30:M30" si="4">-C16</f>
        <v>0</v>
      </c>
      <c r="D30">
        <f t="shared" si="4"/>
        <v>0</v>
      </c>
      <c r="E30">
        <f t="shared" si="4"/>
        <v>0</v>
      </c>
      <c r="F30">
        <f t="shared" si="4"/>
        <v>0</v>
      </c>
      <c r="G30">
        <f t="shared" si="4"/>
        <v>0</v>
      </c>
      <c r="H30">
        <f t="shared" si="4"/>
        <v>0</v>
      </c>
      <c r="I30">
        <f t="shared" si="4"/>
        <v>0</v>
      </c>
      <c r="J30">
        <f t="shared" si="4"/>
        <v>0</v>
      </c>
      <c r="K30">
        <f t="shared" si="4"/>
        <v>0</v>
      </c>
      <c r="L30">
        <f t="shared" si="4"/>
        <v>0</v>
      </c>
      <c r="M30">
        <f t="shared" si="4"/>
        <v>0</v>
      </c>
    </row>
    <row r="31" spans="1:13" ht="17.25" thickBot="1" x14ac:dyDescent="0.3">
      <c r="A31" s="4" t="s">
        <v>58</v>
      </c>
      <c r="B31">
        <f t="shared" ref="B31:M41" si="5">-B17</f>
        <v>0</v>
      </c>
      <c r="C31">
        <v>1</v>
      </c>
      <c r="D31">
        <f t="shared" si="5"/>
        <v>0</v>
      </c>
      <c r="E31">
        <f t="shared" si="5"/>
        <v>0</v>
      </c>
      <c r="F31">
        <f t="shared" si="5"/>
        <v>0</v>
      </c>
      <c r="G31">
        <f t="shared" si="5"/>
        <v>0</v>
      </c>
      <c r="H31">
        <f t="shared" si="5"/>
        <v>0</v>
      </c>
      <c r="I31">
        <f t="shared" si="5"/>
        <v>0</v>
      </c>
      <c r="J31">
        <f t="shared" si="5"/>
        <v>0</v>
      </c>
      <c r="K31">
        <f t="shared" si="5"/>
        <v>0</v>
      </c>
      <c r="L31">
        <f t="shared" si="5"/>
        <v>0</v>
      </c>
      <c r="M31">
        <f t="shared" si="5"/>
        <v>0</v>
      </c>
    </row>
    <row r="32" spans="1:13" ht="17.25" thickBot="1" x14ac:dyDescent="0.3">
      <c r="A32" s="4" t="s">
        <v>59</v>
      </c>
      <c r="B32">
        <f t="shared" si="5"/>
        <v>0</v>
      </c>
      <c r="C32">
        <f t="shared" si="5"/>
        <v>0</v>
      </c>
      <c r="D32">
        <v>1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0</v>
      </c>
      <c r="I32">
        <f t="shared" si="5"/>
        <v>0</v>
      </c>
      <c r="J32">
        <f t="shared" si="5"/>
        <v>0</v>
      </c>
      <c r="K32">
        <f t="shared" si="5"/>
        <v>0</v>
      </c>
      <c r="L32">
        <f t="shared" si="5"/>
        <v>0</v>
      </c>
      <c r="M32">
        <f t="shared" si="5"/>
        <v>0</v>
      </c>
    </row>
    <row r="33" spans="1:13" ht="17.25" thickBot="1" x14ac:dyDescent="0.3">
      <c r="A33" s="4" t="s">
        <v>60</v>
      </c>
      <c r="B33">
        <f t="shared" si="5"/>
        <v>0</v>
      </c>
      <c r="C33">
        <f t="shared" si="5"/>
        <v>0</v>
      </c>
      <c r="D33">
        <f t="shared" si="5"/>
        <v>0</v>
      </c>
      <c r="E33">
        <v>1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0</v>
      </c>
      <c r="J33">
        <f t="shared" si="5"/>
        <v>0</v>
      </c>
      <c r="K33">
        <f t="shared" si="5"/>
        <v>0</v>
      </c>
      <c r="L33">
        <f t="shared" si="5"/>
        <v>0</v>
      </c>
      <c r="M33">
        <f t="shared" si="5"/>
        <v>0</v>
      </c>
    </row>
    <row r="34" spans="1:13" x14ac:dyDescent="0.25">
      <c r="A34" s="6" t="s">
        <v>61</v>
      </c>
      <c r="B34">
        <f t="shared" si="5"/>
        <v>0</v>
      </c>
      <c r="C34">
        <f t="shared" si="5"/>
        <v>0</v>
      </c>
      <c r="D34">
        <f t="shared" si="5"/>
        <v>0</v>
      </c>
      <c r="E34">
        <f t="shared" si="5"/>
        <v>0</v>
      </c>
      <c r="F34">
        <v>1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</row>
    <row r="35" spans="1:13" ht="17.25" thickBot="1" x14ac:dyDescent="0.3">
      <c r="A35" s="6" t="s">
        <v>71</v>
      </c>
      <c r="B35">
        <f t="shared" si="5"/>
        <v>0</v>
      </c>
      <c r="C35">
        <f t="shared" si="5"/>
        <v>0</v>
      </c>
      <c r="D35">
        <f t="shared" si="5"/>
        <v>0</v>
      </c>
      <c r="E35">
        <f t="shared" si="5"/>
        <v>0</v>
      </c>
      <c r="F35">
        <f t="shared" si="5"/>
        <v>0</v>
      </c>
      <c r="G35">
        <v>1</v>
      </c>
      <c r="H35">
        <f t="shared" si="5"/>
        <v>0</v>
      </c>
      <c r="I35">
        <f t="shared" si="5"/>
        <v>0</v>
      </c>
      <c r="J35">
        <f t="shared" si="5"/>
        <v>0</v>
      </c>
      <c r="K35">
        <f t="shared" si="5"/>
        <v>0</v>
      </c>
      <c r="L35">
        <f t="shared" si="5"/>
        <v>0</v>
      </c>
      <c r="M35">
        <f t="shared" si="5"/>
        <v>0</v>
      </c>
    </row>
    <row r="36" spans="1:13" ht="17.25" thickBot="1" x14ac:dyDescent="0.3">
      <c r="A36" s="5" t="s">
        <v>62</v>
      </c>
      <c r="B36">
        <f t="shared" si="5"/>
        <v>0</v>
      </c>
      <c r="C36">
        <f t="shared" si="5"/>
        <v>-0.33333333333333331</v>
      </c>
      <c r="D36">
        <f t="shared" si="5"/>
        <v>-0.2</v>
      </c>
      <c r="E36">
        <f t="shared" si="5"/>
        <v>-0.13333333333333333</v>
      </c>
      <c r="F36">
        <f t="shared" si="5"/>
        <v>0</v>
      </c>
      <c r="G36">
        <f t="shared" si="5"/>
        <v>-0.2</v>
      </c>
      <c r="H36">
        <v>1</v>
      </c>
      <c r="I36">
        <f t="shared" si="5"/>
        <v>0</v>
      </c>
      <c r="J36">
        <f t="shared" si="5"/>
        <v>0</v>
      </c>
      <c r="K36">
        <f t="shared" si="5"/>
        <v>0</v>
      </c>
      <c r="L36">
        <f t="shared" si="5"/>
        <v>0</v>
      </c>
      <c r="M36">
        <f t="shared" si="5"/>
        <v>0</v>
      </c>
    </row>
    <row r="37" spans="1:13" ht="17.25" thickBot="1" x14ac:dyDescent="0.3">
      <c r="A37" s="4" t="s">
        <v>63</v>
      </c>
      <c r="B37">
        <f t="shared" si="5"/>
        <v>-6.6666666666666666E-2</v>
      </c>
      <c r="C37">
        <f t="shared" si="5"/>
        <v>-0.2</v>
      </c>
      <c r="D37">
        <f t="shared" si="5"/>
        <v>-0.26666666666666666</v>
      </c>
      <c r="E37">
        <f t="shared" si="5"/>
        <v>0</v>
      </c>
      <c r="F37">
        <f t="shared" si="5"/>
        <v>0</v>
      </c>
      <c r="G37">
        <f t="shared" si="5"/>
        <v>-0.13333333333333333</v>
      </c>
      <c r="H37">
        <f t="shared" si="5"/>
        <v>0</v>
      </c>
      <c r="I37">
        <v>1</v>
      </c>
      <c r="J37">
        <f t="shared" si="5"/>
        <v>0</v>
      </c>
      <c r="K37">
        <f t="shared" si="5"/>
        <v>0</v>
      </c>
      <c r="L37">
        <f t="shared" si="5"/>
        <v>0</v>
      </c>
      <c r="M37">
        <f t="shared" si="5"/>
        <v>0</v>
      </c>
    </row>
    <row r="38" spans="1:13" ht="17.25" thickBot="1" x14ac:dyDescent="0.3">
      <c r="A38" s="4" t="s">
        <v>64</v>
      </c>
      <c r="B38">
        <f t="shared" si="5"/>
        <v>-0.33333333333333331</v>
      </c>
      <c r="C38">
        <f t="shared" si="5"/>
        <v>-0.2</v>
      </c>
      <c r="D38">
        <f t="shared" si="5"/>
        <v>-0.13333333333333333</v>
      </c>
      <c r="E38">
        <f t="shared" si="5"/>
        <v>-0.2</v>
      </c>
      <c r="F38">
        <f t="shared" si="5"/>
        <v>0</v>
      </c>
      <c r="G38">
        <f t="shared" si="5"/>
        <v>-0.13333333333333333</v>
      </c>
      <c r="H38">
        <f t="shared" si="5"/>
        <v>0</v>
      </c>
      <c r="I38">
        <f t="shared" si="5"/>
        <v>0</v>
      </c>
      <c r="J38">
        <v>1</v>
      </c>
      <c r="K38">
        <f t="shared" si="5"/>
        <v>0</v>
      </c>
      <c r="L38">
        <f t="shared" si="5"/>
        <v>0</v>
      </c>
      <c r="M38">
        <f t="shared" si="5"/>
        <v>0</v>
      </c>
    </row>
    <row r="39" spans="1:13" ht="17.25" thickBot="1" x14ac:dyDescent="0.3">
      <c r="A39" s="4" t="s">
        <v>65</v>
      </c>
      <c r="B39">
        <f t="shared" si="5"/>
        <v>-0.13333333333333333</v>
      </c>
      <c r="C39">
        <f t="shared" si="5"/>
        <v>0</v>
      </c>
      <c r="D39">
        <f t="shared" si="5"/>
        <v>0</v>
      </c>
      <c r="E39">
        <f t="shared" si="5"/>
        <v>-0.13333333333333333</v>
      </c>
      <c r="F39">
        <f t="shared" si="5"/>
        <v>-0.33333333333333331</v>
      </c>
      <c r="G39">
        <f t="shared" si="5"/>
        <v>0</v>
      </c>
      <c r="H39">
        <f t="shared" si="5"/>
        <v>0</v>
      </c>
      <c r="I39">
        <f t="shared" si="5"/>
        <v>0</v>
      </c>
      <c r="J39">
        <f t="shared" si="5"/>
        <v>0</v>
      </c>
      <c r="K39">
        <v>1</v>
      </c>
      <c r="L39">
        <f t="shared" si="5"/>
        <v>0</v>
      </c>
      <c r="M39">
        <f t="shared" si="5"/>
        <v>0</v>
      </c>
    </row>
    <row r="40" spans="1:13" ht="17.25" thickBot="1" x14ac:dyDescent="0.3">
      <c r="A40" s="4" t="s">
        <v>66</v>
      </c>
      <c r="B40">
        <f t="shared" si="5"/>
        <v>0</v>
      </c>
      <c r="C40">
        <f t="shared" si="5"/>
        <v>0</v>
      </c>
      <c r="D40">
        <f t="shared" si="5"/>
        <v>0</v>
      </c>
      <c r="E40">
        <f t="shared" si="5"/>
        <v>0</v>
      </c>
      <c r="F40">
        <f t="shared" si="5"/>
        <v>0</v>
      </c>
      <c r="G40">
        <f t="shared" si="5"/>
        <v>-0.2</v>
      </c>
      <c r="H40">
        <f t="shared" si="5"/>
        <v>0</v>
      </c>
      <c r="I40">
        <f t="shared" si="5"/>
        <v>0</v>
      </c>
      <c r="J40">
        <f t="shared" si="5"/>
        <v>0</v>
      </c>
      <c r="K40">
        <f t="shared" si="5"/>
        <v>0</v>
      </c>
      <c r="L40">
        <v>1</v>
      </c>
      <c r="M40">
        <f t="shared" si="5"/>
        <v>0</v>
      </c>
    </row>
    <row r="41" spans="1:13" ht="17.25" thickBot="1" x14ac:dyDescent="0.3">
      <c r="A41" s="4" t="s">
        <v>67</v>
      </c>
      <c r="B41">
        <f t="shared" si="5"/>
        <v>0</v>
      </c>
      <c r="C41">
        <f t="shared" si="5"/>
        <v>0</v>
      </c>
      <c r="D41">
        <f t="shared" si="5"/>
        <v>0</v>
      </c>
      <c r="E41">
        <f t="shared" si="5"/>
        <v>-0.33333333333333331</v>
      </c>
      <c r="F41">
        <f t="shared" si="5"/>
        <v>0</v>
      </c>
      <c r="G41">
        <f t="shared" si="5"/>
        <v>0</v>
      </c>
      <c r="H41">
        <f t="shared" si="5"/>
        <v>0</v>
      </c>
      <c r="I41">
        <f t="shared" si="5"/>
        <v>0</v>
      </c>
      <c r="J41">
        <f t="shared" si="5"/>
        <v>0</v>
      </c>
      <c r="K41">
        <f t="shared" si="5"/>
        <v>0</v>
      </c>
      <c r="L41">
        <f t="shared" si="5"/>
        <v>0</v>
      </c>
      <c r="M41">
        <v>1</v>
      </c>
    </row>
    <row r="42" spans="1:13" ht="17.25" thickBot="1" x14ac:dyDescent="0.3">
      <c r="A42" s="7" t="s">
        <v>72</v>
      </c>
      <c r="B42" t="s">
        <v>48</v>
      </c>
      <c r="C42" t="s">
        <v>73</v>
      </c>
      <c r="D42" t="s">
        <v>29</v>
      </c>
      <c r="E42" t="s">
        <v>49</v>
      </c>
      <c r="F42" t="s">
        <v>61</v>
      </c>
      <c r="G42" t="s">
        <v>32</v>
      </c>
      <c r="H42" t="s">
        <v>74</v>
      </c>
      <c r="I42" t="s">
        <v>52</v>
      </c>
      <c r="J42" t="s">
        <v>53</v>
      </c>
      <c r="K42" t="s">
        <v>75</v>
      </c>
      <c r="L42" t="s">
        <v>55</v>
      </c>
      <c r="M42" t="s">
        <v>56</v>
      </c>
    </row>
    <row r="43" spans="1:13" ht="17.25" thickBot="1" x14ac:dyDescent="0.3">
      <c r="A43" s="5" t="s">
        <v>57</v>
      </c>
      <c r="B43">
        <f t="array" ref="B43:M54">MINVERSE(B30:M41)</f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ht="17.25" thickBot="1" x14ac:dyDescent="0.3">
      <c r="A44" s="4" t="s">
        <v>58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t="17.25" thickBot="1" x14ac:dyDescent="0.3">
      <c r="A45" s="4" t="s">
        <v>59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ht="17.25" thickBot="1" x14ac:dyDescent="0.3">
      <c r="A46" s="4" t="s">
        <v>60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s="6" t="s">
        <v>76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ht="17.25" thickBot="1" x14ac:dyDescent="0.3">
      <c r="A48" s="6" t="s">
        <v>32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7" ht="17.25" thickBot="1" x14ac:dyDescent="0.3">
      <c r="A49" s="5" t="s">
        <v>62</v>
      </c>
      <c r="B49">
        <v>0</v>
      </c>
      <c r="C49">
        <v>0.33333333333333331</v>
      </c>
      <c r="D49">
        <v>0.2</v>
      </c>
      <c r="E49">
        <v>0.13333333333333333</v>
      </c>
      <c r="F49">
        <v>0</v>
      </c>
      <c r="G49">
        <v>0.2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7" ht="17.25" thickBot="1" x14ac:dyDescent="0.3">
      <c r="A50" s="4" t="s">
        <v>63</v>
      </c>
      <c r="B50">
        <v>6.6666666666666666E-2</v>
      </c>
      <c r="C50">
        <v>0.2</v>
      </c>
      <c r="D50">
        <v>0.26666666666666666</v>
      </c>
      <c r="E50">
        <v>0</v>
      </c>
      <c r="F50">
        <v>0</v>
      </c>
      <c r="G50">
        <v>0.13333333333333333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7" ht="17.25" thickBot="1" x14ac:dyDescent="0.3">
      <c r="A51" s="4" t="s">
        <v>64</v>
      </c>
      <c r="B51">
        <v>0.33333333333333331</v>
      </c>
      <c r="C51">
        <v>0.2</v>
      </c>
      <c r="D51">
        <v>0.13333333333333333</v>
      </c>
      <c r="E51">
        <v>0.2</v>
      </c>
      <c r="F51">
        <v>0</v>
      </c>
      <c r="G51">
        <v>0.13333333333333333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7" ht="17.25" thickBot="1" x14ac:dyDescent="0.3">
      <c r="A52" s="4" t="s">
        <v>65</v>
      </c>
      <c r="B52">
        <v>0.13333333333333333</v>
      </c>
      <c r="C52">
        <v>0</v>
      </c>
      <c r="D52">
        <v>0</v>
      </c>
      <c r="E52">
        <v>0.13333333333333333</v>
      </c>
      <c r="F52">
        <v>0.33333333333333331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7" ht="17.25" thickBot="1" x14ac:dyDescent="0.3">
      <c r="A53" s="4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0.2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7" ht="17.25" thickBot="1" x14ac:dyDescent="0.3">
      <c r="A54" s="4" t="s">
        <v>67</v>
      </c>
      <c r="B54">
        <v>0</v>
      </c>
      <c r="C54">
        <v>0</v>
      </c>
      <c r="D54">
        <v>0</v>
      </c>
      <c r="E54">
        <v>0.33333333333333331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</row>
    <row r="55" spans="1:17" ht="17.25" thickBot="1" x14ac:dyDescent="0.3">
      <c r="A55" s="7" t="s">
        <v>77</v>
      </c>
      <c r="B55" t="s">
        <v>78</v>
      </c>
      <c r="C55" t="s">
        <v>28</v>
      </c>
      <c r="D55" t="s">
        <v>79</v>
      </c>
      <c r="E55" t="s">
        <v>30</v>
      </c>
      <c r="F55" t="s">
        <v>76</v>
      </c>
      <c r="G55" t="s">
        <v>32</v>
      </c>
      <c r="H55" t="s">
        <v>80</v>
      </c>
      <c r="I55" t="s">
        <v>81</v>
      </c>
      <c r="J55" t="s">
        <v>82</v>
      </c>
      <c r="K55" t="s">
        <v>83</v>
      </c>
      <c r="L55" t="s">
        <v>84</v>
      </c>
      <c r="M55" t="s">
        <v>85</v>
      </c>
      <c r="N55" t="s">
        <v>86</v>
      </c>
      <c r="O55" t="s">
        <v>87</v>
      </c>
      <c r="P55" t="s">
        <v>88</v>
      </c>
      <c r="Q55" t="s">
        <v>89</v>
      </c>
    </row>
    <row r="56" spans="1:17" ht="17.25" thickBot="1" x14ac:dyDescent="0.3">
      <c r="A56" s="5" t="s">
        <v>57</v>
      </c>
      <c r="B56">
        <f t="array" ref="B56:M67">MMULT(B16:M27,B43:M54)</f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8">
        <f>SUM(B56:M56)</f>
        <v>0</v>
      </c>
      <c r="O56" s="8">
        <f t="array" ref="O56:O67">TRANSPOSE(B68:M68)</f>
        <v>0.53333333333333333</v>
      </c>
      <c r="P56" s="8">
        <f>N56+O56</f>
        <v>0.53333333333333333</v>
      </c>
      <c r="Q56" s="8">
        <f>N56-O56</f>
        <v>-0.53333333333333333</v>
      </c>
    </row>
    <row r="57" spans="1:17" ht="17.25" thickBot="1" x14ac:dyDescent="0.3">
      <c r="A57" s="4" t="s">
        <v>58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8">
        <f t="shared" ref="N57:N67" si="6">SUM(B57:M57)</f>
        <v>0</v>
      </c>
      <c r="O57" s="8">
        <v>0.73333333333333339</v>
      </c>
      <c r="P57" s="8">
        <f t="shared" ref="P57:P67" si="7">N57+O57</f>
        <v>0.73333333333333339</v>
      </c>
      <c r="Q57" s="8">
        <f t="shared" ref="Q57:Q67" si="8">N57-O57</f>
        <v>-0.73333333333333339</v>
      </c>
    </row>
    <row r="58" spans="1:17" ht="17.25" thickBot="1" x14ac:dyDescent="0.3">
      <c r="A58" s="4" t="s">
        <v>59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8">
        <f t="shared" si="6"/>
        <v>0</v>
      </c>
      <c r="O58" s="8">
        <v>0.6</v>
      </c>
      <c r="P58" s="8">
        <f t="shared" si="7"/>
        <v>0.6</v>
      </c>
      <c r="Q58" s="8">
        <f t="shared" si="8"/>
        <v>-0.6</v>
      </c>
    </row>
    <row r="59" spans="1:17" ht="17.25" thickBot="1" x14ac:dyDescent="0.3">
      <c r="A59" s="4" t="s">
        <v>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8">
        <f t="shared" si="6"/>
        <v>0</v>
      </c>
      <c r="O59" s="8">
        <v>0.8</v>
      </c>
      <c r="P59" s="8">
        <f t="shared" si="7"/>
        <v>0.8</v>
      </c>
      <c r="Q59" s="8">
        <f t="shared" si="8"/>
        <v>-0.8</v>
      </c>
    </row>
    <row r="60" spans="1:17" x14ac:dyDescent="0.25">
      <c r="A60" s="6" t="s">
        <v>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8">
        <f t="shared" si="6"/>
        <v>0</v>
      </c>
      <c r="O60" s="8">
        <v>0.33333333333333331</v>
      </c>
      <c r="P60" s="8">
        <f t="shared" si="7"/>
        <v>0.33333333333333331</v>
      </c>
      <c r="Q60" s="8">
        <f t="shared" si="8"/>
        <v>-0.33333333333333331</v>
      </c>
    </row>
    <row r="61" spans="1:17" ht="17.25" thickBot="1" x14ac:dyDescent="0.3">
      <c r="A61" s="6" t="s">
        <v>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8">
        <f t="shared" si="6"/>
        <v>0</v>
      </c>
      <c r="O61" s="8">
        <v>0.66666666666666674</v>
      </c>
      <c r="P61" s="8">
        <f t="shared" si="7"/>
        <v>0.66666666666666674</v>
      </c>
      <c r="Q61" s="8">
        <f t="shared" si="8"/>
        <v>-0.66666666666666674</v>
      </c>
    </row>
    <row r="62" spans="1:17" ht="17.25" thickBot="1" x14ac:dyDescent="0.3">
      <c r="A62" s="5" t="s">
        <v>62</v>
      </c>
      <c r="B62">
        <v>0</v>
      </c>
      <c r="C62">
        <v>0.33333333333333331</v>
      </c>
      <c r="D62">
        <v>0.2</v>
      </c>
      <c r="E62">
        <v>0.13333333333333333</v>
      </c>
      <c r="F62">
        <v>0</v>
      </c>
      <c r="G62">
        <v>0.2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s="8">
        <f t="shared" si="6"/>
        <v>0.8666666666666667</v>
      </c>
      <c r="O62" s="8">
        <v>0</v>
      </c>
      <c r="P62" s="8">
        <f t="shared" si="7"/>
        <v>0.8666666666666667</v>
      </c>
      <c r="Q62" s="8">
        <f t="shared" si="8"/>
        <v>0.8666666666666667</v>
      </c>
    </row>
    <row r="63" spans="1:17" ht="17.25" thickBot="1" x14ac:dyDescent="0.3">
      <c r="A63" s="4" t="s">
        <v>63</v>
      </c>
      <c r="B63">
        <v>6.6666666666666666E-2</v>
      </c>
      <c r="C63">
        <v>0.2</v>
      </c>
      <c r="D63">
        <v>0.26666666666666666</v>
      </c>
      <c r="E63">
        <v>0</v>
      </c>
      <c r="F63">
        <v>0</v>
      </c>
      <c r="G63">
        <v>0.13333333333333333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8">
        <f t="shared" si="6"/>
        <v>0.66666666666666663</v>
      </c>
      <c r="O63" s="8">
        <v>0</v>
      </c>
      <c r="P63" s="8">
        <f t="shared" si="7"/>
        <v>0.66666666666666663</v>
      </c>
      <c r="Q63" s="8">
        <f t="shared" si="8"/>
        <v>0.66666666666666663</v>
      </c>
    </row>
    <row r="64" spans="1:17" ht="17.25" thickBot="1" x14ac:dyDescent="0.3">
      <c r="A64" s="4" t="s">
        <v>64</v>
      </c>
      <c r="B64">
        <v>0.33333333333333331</v>
      </c>
      <c r="C64">
        <v>0.2</v>
      </c>
      <c r="D64">
        <v>0.13333333333333333</v>
      </c>
      <c r="E64">
        <v>0.2</v>
      </c>
      <c r="F64">
        <v>0</v>
      </c>
      <c r="G64">
        <v>0.13333333333333333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8">
        <f t="shared" si="6"/>
        <v>1</v>
      </c>
      <c r="O64" s="8">
        <v>0</v>
      </c>
      <c r="P64" s="8">
        <f t="shared" si="7"/>
        <v>1</v>
      </c>
      <c r="Q64" s="8">
        <f t="shared" si="8"/>
        <v>1</v>
      </c>
    </row>
    <row r="65" spans="1:17" ht="17.25" thickBot="1" x14ac:dyDescent="0.3">
      <c r="A65" s="4" t="s">
        <v>65</v>
      </c>
      <c r="B65">
        <v>0.13333333333333333</v>
      </c>
      <c r="C65">
        <v>0</v>
      </c>
      <c r="D65">
        <v>0</v>
      </c>
      <c r="E65">
        <v>0.13333333333333333</v>
      </c>
      <c r="F65">
        <v>0.33333333333333331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s="8">
        <f t="shared" si="6"/>
        <v>0.6</v>
      </c>
      <c r="O65" s="8">
        <v>0</v>
      </c>
      <c r="P65" s="8">
        <f t="shared" si="7"/>
        <v>0.6</v>
      </c>
      <c r="Q65" s="8">
        <f t="shared" si="8"/>
        <v>0.6</v>
      </c>
    </row>
    <row r="66" spans="1:17" ht="17.25" thickBot="1" x14ac:dyDescent="0.3">
      <c r="A66" s="4" t="s">
        <v>66</v>
      </c>
      <c r="B66">
        <v>0</v>
      </c>
      <c r="C66">
        <v>0</v>
      </c>
      <c r="D66">
        <v>0</v>
      </c>
      <c r="E66">
        <v>0</v>
      </c>
      <c r="F66">
        <v>0</v>
      </c>
      <c r="G66">
        <v>0.2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8">
        <f t="shared" si="6"/>
        <v>0.2</v>
      </c>
      <c r="O66" s="8">
        <v>0</v>
      </c>
      <c r="P66" s="8">
        <f t="shared" si="7"/>
        <v>0.2</v>
      </c>
      <c r="Q66" s="8">
        <f t="shared" si="8"/>
        <v>0.2</v>
      </c>
    </row>
    <row r="67" spans="1:17" ht="17.25" thickBot="1" x14ac:dyDescent="0.3">
      <c r="A67" s="4" t="s">
        <v>67</v>
      </c>
      <c r="B67">
        <v>0</v>
      </c>
      <c r="C67">
        <v>0</v>
      </c>
      <c r="D67">
        <v>0</v>
      </c>
      <c r="E67">
        <v>0.33333333333333331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8">
        <f t="shared" si="6"/>
        <v>0.33333333333333331</v>
      </c>
      <c r="O67" s="8">
        <v>0</v>
      </c>
      <c r="P67" s="8">
        <f t="shared" si="7"/>
        <v>0.33333333333333331</v>
      </c>
      <c r="Q67" s="8">
        <f t="shared" si="8"/>
        <v>0.33333333333333331</v>
      </c>
    </row>
    <row r="68" spans="1:17" x14ac:dyDescent="0.25">
      <c r="B68">
        <f>SUM(B56:B67)</f>
        <v>0.53333333333333333</v>
      </c>
      <c r="C68">
        <f t="shared" ref="C68:M68" si="9">SUM(C56:C67)</f>
        <v>0.73333333333333339</v>
      </c>
      <c r="D68">
        <f t="shared" si="9"/>
        <v>0.6</v>
      </c>
      <c r="E68">
        <f t="shared" si="9"/>
        <v>0.8</v>
      </c>
      <c r="F68">
        <f t="shared" si="9"/>
        <v>0.33333333333333331</v>
      </c>
      <c r="G68">
        <f t="shared" si="9"/>
        <v>0.66666666666666674</v>
      </c>
      <c r="H68">
        <f t="shared" si="9"/>
        <v>0</v>
      </c>
      <c r="I68">
        <f t="shared" si="9"/>
        <v>0</v>
      </c>
      <c r="J68">
        <f t="shared" si="9"/>
        <v>0</v>
      </c>
      <c r="K68">
        <f t="shared" si="9"/>
        <v>0</v>
      </c>
      <c r="L68">
        <f t="shared" si="9"/>
        <v>0</v>
      </c>
      <c r="M68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L2" sqref="L2"/>
    </sheetView>
  </sheetViews>
  <sheetFormatPr defaultRowHeight="16.5" x14ac:dyDescent="0.25"/>
  <cols>
    <col min="2" max="2" width="8.875" customWidth="1"/>
    <col min="14" max="14" width="20" customWidth="1"/>
  </cols>
  <sheetData>
    <row r="1" spans="1:14" ht="17.25" thickBot="1" x14ac:dyDescent="0.3">
      <c r="A1" s="9" t="s">
        <v>92</v>
      </c>
      <c r="B1" s="10" t="s">
        <v>93</v>
      </c>
      <c r="C1" s="11" t="s">
        <v>94</v>
      </c>
      <c r="D1" s="11" t="s">
        <v>95</v>
      </c>
      <c r="E1" s="11" t="s">
        <v>96</v>
      </c>
      <c r="F1" s="11" t="s">
        <v>97</v>
      </c>
      <c r="G1" s="11" t="s">
        <v>98</v>
      </c>
      <c r="H1" s="12" t="s">
        <v>99</v>
      </c>
      <c r="I1" s="11" t="s">
        <v>100</v>
      </c>
      <c r="J1" s="11" t="s">
        <v>101</v>
      </c>
      <c r="K1" s="12" t="s">
        <v>102</v>
      </c>
      <c r="L1" s="12" t="s">
        <v>103</v>
      </c>
      <c r="M1" s="11" t="s">
        <v>104</v>
      </c>
      <c r="N1" s="13" t="s">
        <v>105</v>
      </c>
    </row>
    <row r="2" spans="1:14" ht="34.5" customHeight="1" thickBot="1" x14ac:dyDescent="0.3">
      <c r="A2" s="14" t="s">
        <v>106</v>
      </c>
      <c r="B2" s="15">
        <v>0.15</v>
      </c>
      <c r="C2" s="16">
        <v>0.45</v>
      </c>
      <c r="D2" s="16">
        <v>0.35</v>
      </c>
      <c r="E2" s="16"/>
      <c r="F2" s="16">
        <v>0.05</v>
      </c>
      <c r="G2" s="16"/>
      <c r="H2" s="16">
        <f t="shared" ref="H2:H11" si="0">SUM(B2:G2)</f>
        <v>1</v>
      </c>
      <c r="I2" s="17">
        <f t="shared" ref="I2:I11" si="1">(B2+D2-F2)/(B2+C2+D2+E2+F2)</f>
        <v>0.45</v>
      </c>
      <c r="J2" s="17">
        <f t="shared" ref="J2:J11" si="2">-(C2+D2-E2)/(B2+C2+D2+E2+F2)</f>
        <v>-0.8</v>
      </c>
      <c r="K2" s="18">
        <f t="shared" ref="K2:K11" si="3">-(IF(B2=0,0,B2*LN(B2))+IF(C2=0,0,C2*LN(C2))+IF(D2=0,0,D2*LN(D2))+IF(E2=0,0,E2*LN(E2))+IF(F2=0,0,F2*LN(F2)))/LN(5)</f>
        <v>0.72144492764374291</v>
      </c>
      <c r="L2" s="18">
        <f t="shared" ref="L2:L11" si="4">1-K2</f>
        <v>0.27855507235625709</v>
      </c>
      <c r="M2" s="18">
        <f t="shared" ref="M2:M11" si="5">L2/L$12</f>
        <v>0.12539786815079121</v>
      </c>
      <c r="N2" s="19" t="s">
        <v>107</v>
      </c>
    </row>
    <row r="3" spans="1:14" ht="38.25" customHeight="1" thickBot="1" x14ac:dyDescent="0.3">
      <c r="A3" s="20" t="s">
        <v>108</v>
      </c>
      <c r="B3" s="15">
        <v>0.2</v>
      </c>
      <c r="C3" s="16">
        <v>0.35</v>
      </c>
      <c r="D3" s="16">
        <v>0.4</v>
      </c>
      <c r="E3" s="16"/>
      <c r="F3" s="16">
        <v>0.05</v>
      </c>
      <c r="G3" s="16"/>
      <c r="H3" s="16">
        <f t="shared" si="0"/>
        <v>1</v>
      </c>
      <c r="I3" s="17">
        <f t="shared" si="1"/>
        <v>0.55000000000000004</v>
      </c>
      <c r="J3" s="17">
        <f t="shared" si="2"/>
        <v>-0.75</v>
      </c>
      <c r="K3" s="18">
        <f t="shared" si="3"/>
        <v>0.74909893893659862</v>
      </c>
      <c r="L3" s="18">
        <f t="shared" si="4"/>
        <v>0.25090106106340138</v>
      </c>
      <c r="M3" s="18">
        <f t="shared" si="5"/>
        <v>0.11294878929321096</v>
      </c>
      <c r="N3" s="21" t="s">
        <v>109</v>
      </c>
    </row>
    <row r="4" spans="1:14" ht="48" customHeight="1" thickBot="1" x14ac:dyDescent="0.3">
      <c r="A4" s="20" t="s">
        <v>110</v>
      </c>
      <c r="B4" s="15">
        <v>0.25</v>
      </c>
      <c r="C4" s="16">
        <v>0.22</v>
      </c>
      <c r="D4" s="16">
        <v>0.44</v>
      </c>
      <c r="E4" s="16"/>
      <c r="F4" s="16">
        <v>0.09</v>
      </c>
      <c r="G4" s="16"/>
      <c r="H4" s="16">
        <f t="shared" si="0"/>
        <v>0.99999999999999989</v>
      </c>
      <c r="I4" s="17">
        <f t="shared" si="1"/>
        <v>0.60000000000000009</v>
      </c>
      <c r="J4" s="17">
        <f t="shared" si="2"/>
        <v>-0.66000000000000014</v>
      </c>
      <c r="K4" s="18">
        <f t="shared" si="3"/>
        <v>0.78140835967129085</v>
      </c>
      <c r="L4" s="18">
        <f t="shared" si="4"/>
        <v>0.21859164032870915</v>
      </c>
      <c r="M4" s="18">
        <f t="shared" si="5"/>
        <v>9.8403972546396601E-2</v>
      </c>
      <c r="N4" s="21" t="s">
        <v>111</v>
      </c>
    </row>
    <row r="5" spans="1:14" ht="17.25" thickBot="1" x14ac:dyDescent="0.3">
      <c r="A5" s="20" t="s">
        <v>112</v>
      </c>
      <c r="B5" s="24">
        <v>0.25</v>
      </c>
      <c r="C5" s="25">
        <v>0.25</v>
      </c>
      <c r="D5" s="25">
        <v>0.45</v>
      </c>
      <c r="E5" s="16"/>
      <c r="F5" s="16">
        <v>0.05</v>
      </c>
      <c r="G5" s="16"/>
      <c r="H5" s="16">
        <f t="shared" si="0"/>
        <v>1</v>
      </c>
      <c r="I5" s="17">
        <f t="shared" si="1"/>
        <v>0.64999999999999991</v>
      </c>
      <c r="J5" s="17">
        <f t="shared" si="2"/>
        <v>-0.7</v>
      </c>
      <c r="K5" s="18">
        <f t="shared" si="3"/>
        <v>0.74700754110939938</v>
      </c>
      <c r="L5" s="18">
        <f t="shared" si="4"/>
        <v>0.25299245889060062</v>
      </c>
      <c r="M5" s="18">
        <f t="shared" si="5"/>
        <v>0.11389027934315904</v>
      </c>
      <c r="N5" s="21" t="s">
        <v>113</v>
      </c>
    </row>
    <row r="6" spans="1:14" ht="27" customHeight="1" thickBot="1" x14ac:dyDescent="0.3">
      <c r="A6" s="23" t="s">
        <v>114</v>
      </c>
      <c r="B6" s="26">
        <v>0.25</v>
      </c>
      <c r="C6" s="26">
        <v>0.44</v>
      </c>
      <c r="D6" s="26">
        <v>0.25</v>
      </c>
      <c r="E6" s="16"/>
      <c r="F6" s="16">
        <v>0.06</v>
      </c>
      <c r="G6" s="16"/>
      <c r="H6" s="16">
        <f t="shared" si="0"/>
        <v>1</v>
      </c>
      <c r="I6" s="17">
        <f t="shared" si="1"/>
        <v>0.44</v>
      </c>
      <c r="J6" s="17">
        <f t="shared" si="2"/>
        <v>-0.69</v>
      </c>
      <c r="K6" s="18">
        <f t="shared" si="3"/>
        <v>0.76000649483044735</v>
      </c>
      <c r="L6" s="18">
        <f t="shared" si="4"/>
        <v>0.23999350516955265</v>
      </c>
      <c r="M6" s="18">
        <f t="shared" si="5"/>
        <v>0.10803850622331625</v>
      </c>
      <c r="N6" s="21" t="s">
        <v>115</v>
      </c>
    </row>
    <row r="7" spans="1:14" ht="32.25" thickBot="1" x14ac:dyDescent="0.3">
      <c r="A7" s="20" t="s">
        <v>116</v>
      </c>
      <c r="B7" s="15">
        <v>0.28000000000000003</v>
      </c>
      <c r="C7" s="16">
        <v>0.3</v>
      </c>
      <c r="D7" s="16">
        <v>0.3</v>
      </c>
      <c r="E7" s="16"/>
      <c r="F7" s="16">
        <v>0.12</v>
      </c>
      <c r="G7" s="16"/>
      <c r="H7" s="16">
        <f t="shared" si="0"/>
        <v>1</v>
      </c>
      <c r="I7" s="17">
        <f t="shared" si="1"/>
        <v>0.46000000000000008</v>
      </c>
      <c r="J7" s="17">
        <f t="shared" si="2"/>
        <v>-0.6</v>
      </c>
      <c r="K7" s="18">
        <f t="shared" si="3"/>
        <v>0.82839212737991952</v>
      </c>
      <c r="L7" s="18">
        <f t="shared" si="4"/>
        <v>0.17160787262008048</v>
      </c>
      <c r="M7" s="18">
        <f t="shared" si="5"/>
        <v>7.7253166501052378E-2</v>
      </c>
      <c r="N7" s="21" t="s">
        <v>117</v>
      </c>
    </row>
    <row r="8" spans="1:14" ht="32.25" thickBot="1" x14ac:dyDescent="0.3">
      <c r="A8" s="20" t="s">
        <v>118</v>
      </c>
      <c r="B8" s="15">
        <v>0.2</v>
      </c>
      <c r="C8" s="16">
        <v>0.35</v>
      </c>
      <c r="D8" s="16">
        <v>0.34</v>
      </c>
      <c r="E8" s="16"/>
      <c r="F8" s="16">
        <v>0.11</v>
      </c>
      <c r="G8" s="16"/>
      <c r="H8" s="16">
        <f t="shared" si="0"/>
        <v>1.0000000000000002</v>
      </c>
      <c r="I8" s="17">
        <f t="shared" si="1"/>
        <v>0.42999999999999994</v>
      </c>
      <c r="J8" s="17">
        <f t="shared" si="2"/>
        <v>-0.68999999999999984</v>
      </c>
      <c r="K8" s="18">
        <f t="shared" si="3"/>
        <v>0.80706490218948923</v>
      </c>
      <c r="L8" s="18">
        <f t="shared" si="4"/>
        <v>0.19293509781051077</v>
      </c>
      <c r="M8" s="18">
        <f t="shared" si="5"/>
        <v>8.6854099450610775E-2</v>
      </c>
      <c r="N8" s="21" t="s">
        <v>119</v>
      </c>
    </row>
    <row r="9" spans="1:14" ht="27.75" customHeight="1" thickBot="1" x14ac:dyDescent="0.3">
      <c r="A9" s="20" t="s">
        <v>120</v>
      </c>
      <c r="B9" s="15">
        <v>0.3</v>
      </c>
      <c r="C9" s="16">
        <v>0.28000000000000003</v>
      </c>
      <c r="D9" s="16">
        <v>0.32</v>
      </c>
      <c r="E9" s="16"/>
      <c r="F9" s="16">
        <v>0.1</v>
      </c>
      <c r="G9" s="16"/>
      <c r="H9" s="16">
        <f t="shared" si="0"/>
        <v>1.0000000000000002</v>
      </c>
      <c r="I9" s="17">
        <f t="shared" si="1"/>
        <v>0.51999999999999991</v>
      </c>
      <c r="J9" s="17">
        <f t="shared" si="2"/>
        <v>-0.6</v>
      </c>
      <c r="K9" s="18">
        <f t="shared" si="3"/>
        <v>0.81550192169889746</v>
      </c>
      <c r="L9" s="18">
        <f t="shared" si="4"/>
        <v>0.18449807830110254</v>
      </c>
      <c r="M9" s="18">
        <f t="shared" si="5"/>
        <v>8.3055984230244864E-2</v>
      </c>
      <c r="N9" s="21" t="s">
        <v>147</v>
      </c>
    </row>
    <row r="10" spans="1:14" ht="43.5" customHeight="1" thickBot="1" x14ac:dyDescent="0.3">
      <c r="A10" s="20" t="s">
        <v>121</v>
      </c>
      <c r="B10" s="15">
        <v>0.24</v>
      </c>
      <c r="C10" s="16">
        <v>0.32</v>
      </c>
      <c r="D10" s="16">
        <v>0.4</v>
      </c>
      <c r="E10" s="16"/>
      <c r="F10" s="16">
        <v>0.08</v>
      </c>
      <c r="G10" s="16"/>
      <c r="H10" s="16">
        <f t="shared" si="0"/>
        <v>1.04</v>
      </c>
      <c r="I10" s="17">
        <f t="shared" si="1"/>
        <v>0.53846153846153855</v>
      </c>
      <c r="J10" s="17">
        <f t="shared" si="2"/>
        <v>-0.69230769230769229</v>
      </c>
      <c r="K10" s="18">
        <f t="shared" si="3"/>
        <v>0.79263789576006327</v>
      </c>
      <c r="L10" s="18">
        <f t="shared" si="4"/>
        <v>0.20736210423993673</v>
      </c>
      <c r="M10" s="18">
        <f t="shared" si="5"/>
        <v>9.3348742806930673E-2</v>
      </c>
      <c r="N10" s="21" t="s">
        <v>122</v>
      </c>
    </row>
    <row r="11" spans="1:14" ht="36" customHeight="1" thickBot="1" x14ac:dyDescent="0.3">
      <c r="A11" s="20" t="s">
        <v>123</v>
      </c>
      <c r="B11" s="15">
        <v>0.33</v>
      </c>
      <c r="C11" s="16">
        <v>0.25</v>
      </c>
      <c r="D11" s="16">
        <v>0.36</v>
      </c>
      <c r="E11" s="16"/>
      <c r="F11" s="16">
        <v>0.06</v>
      </c>
      <c r="G11" s="16"/>
      <c r="H11" s="16">
        <f t="shared" si="0"/>
        <v>1</v>
      </c>
      <c r="I11" s="17">
        <f t="shared" si="1"/>
        <v>0.62999999999999989</v>
      </c>
      <c r="J11" s="17">
        <f t="shared" si="2"/>
        <v>-0.61</v>
      </c>
      <c r="K11" s="18">
        <f t="shared" si="3"/>
        <v>0.77606681117645315</v>
      </c>
      <c r="L11" s="18">
        <f t="shared" si="4"/>
        <v>0.22393318882354685</v>
      </c>
      <c r="M11" s="18">
        <f t="shared" si="5"/>
        <v>0.10080859145428729</v>
      </c>
      <c r="N11" s="21" t="s">
        <v>124</v>
      </c>
    </row>
    <row r="12" spans="1:14" x14ac:dyDescent="0.25">
      <c r="A12" s="18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8">
        <f>SUM(L2:L11)</f>
        <v>2.2213700796036981</v>
      </c>
      <c r="M12" s="18">
        <f>SUM(M2:M11)</f>
        <v>1</v>
      </c>
      <c r="N12" s="2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opLeftCell="B1" workbookViewId="0">
      <selection activeCell="J19" sqref="J19"/>
    </sheetView>
  </sheetViews>
  <sheetFormatPr defaultRowHeight="16.5" x14ac:dyDescent="0.25"/>
  <cols>
    <col min="1" max="1" width="10.625" customWidth="1"/>
    <col min="8" max="8" width="8.375" customWidth="1"/>
    <col min="10" max="10" width="10.125" customWidth="1"/>
  </cols>
  <sheetData>
    <row r="1" spans="1:15" ht="17.25" thickBot="1" x14ac:dyDescent="0.3">
      <c r="A1" s="27" t="s">
        <v>125</v>
      </c>
      <c r="B1" s="22" t="s">
        <v>126</v>
      </c>
      <c r="C1" s="27" t="s">
        <v>127</v>
      </c>
      <c r="D1" s="27" t="s">
        <v>128</v>
      </c>
      <c r="E1" s="27" t="s">
        <v>129</v>
      </c>
      <c r="F1" s="27" t="s">
        <v>130</v>
      </c>
      <c r="G1" s="27" t="s">
        <v>131</v>
      </c>
      <c r="H1" s="27" t="s">
        <v>141</v>
      </c>
      <c r="I1" s="27" t="s">
        <v>142</v>
      </c>
      <c r="J1" s="27" t="s">
        <v>145</v>
      </c>
      <c r="K1" s="27" t="s">
        <v>132</v>
      </c>
      <c r="L1" s="27" t="s">
        <v>146</v>
      </c>
      <c r="M1" s="27"/>
      <c r="N1" s="35" t="s">
        <v>148</v>
      </c>
      <c r="O1" s="35" t="s">
        <v>149</v>
      </c>
    </row>
    <row r="2" spans="1:15" ht="17.25" thickBot="1" x14ac:dyDescent="0.3">
      <c r="A2" s="14" t="s">
        <v>106</v>
      </c>
      <c r="B2" s="33">
        <v>1260</v>
      </c>
      <c r="C2" s="31">
        <v>0.125</v>
      </c>
      <c r="D2" s="31">
        <v>0.45</v>
      </c>
      <c r="E2" s="31">
        <v>-0.8</v>
      </c>
      <c r="F2">
        <v>1</v>
      </c>
      <c r="G2">
        <f>1-F2</f>
        <v>0</v>
      </c>
      <c r="H2">
        <f>SUMPRODUCT(C2:C11,D2:D11,F2:F11)</f>
        <v>0.25070000000000003</v>
      </c>
      <c r="I2">
        <f>-SUMPRODUCT(C2:C11,E2:E11,G2:G11)</f>
        <v>0.32501000000000002</v>
      </c>
      <c r="J2" s="8">
        <v>0.7</v>
      </c>
      <c r="K2">
        <f>J2*D2+(1-J2)*E2</f>
        <v>7.4999999999999956E-2</v>
      </c>
      <c r="L2">
        <f>SUMPRODUCT(C2:C11,F2:F11,K2:K11)</f>
        <v>6.7324999999999996E-2</v>
      </c>
      <c r="N2">
        <v>1</v>
      </c>
      <c r="O2">
        <v>1</v>
      </c>
    </row>
    <row r="3" spans="1:15" ht="17.25" thickBot="1" x14ac:dyDescent="0.3">
      <c r="A3" s="20" t="s">
        <v>108</v>
      </c>
      <c r="B3" s="34">
        <v>1680</v>
      </c>
      <c r="C3" s="32">
        <v>0.113</v>
      </c>
      <c r="D3" s="32">
        <v>0.55000000000000004</v>
      </c>
      <c r="E3" s="32">
        <v>-0.75</v>
      </c>
      <c r="F3">
        <v>0</v>
      </c>
      <c r="G3">
        <f t="shared" ref="G3:G11" si="0">1-F3</f>
        <v>1</v>
      </c>
      <c r="H3" t="s">
        <v>143</v>
      </c>
      <c r="I3" t="s">
        <v>144</v>
      </c>
      <c r="J3" s="8">
        <v>0.7</v>
      </c>
      <c r="K3">
        <f t="shared" ref="K3:K11" si="1">J3*D3+(1-J3)*E3</f>
        <v>0.15999999999999998</v>
      </c>
      <c r="N3">
        <v>0</v>
      </c>
      <c r="O3">
        <v>0</v>
      </c>
    </row>
    <row r="4" spans="1:15" ht="17.25" thickBot="1" x14ac:dyDescent="0.3">
      <c r="A4" s="20" t="s">
        <v>110</v>
      </c>
      <c r="B4" s="34">
        <v>1500</v>
      </c>
      <c r="C4" s="32">
        <v>9.8000000000000004E-2</v>
      </c>
      <c r="D4" s="32">
        <v>0.6</v>
      </c>
      <c r="E4" s="32">
        <v>-0.66</v>
      </c>
      <c r="F4">
        <v>0</v>
      </c>
      <c r="G4">
        <f t="shared" si="0"/>
        <v>1</v>
      </c>
      <c r="J4" s="8">
        <v>0.7</v>
      </c>
      <c r="K4">
        <f t="shared" si="1"/>
        <v>0.22199999999999995</v>
      </c>
      <c r="L4" s="28"/>
      <c r="N4">
        <v>0</v>
      </c>
      <c r="O4">
        <v>0</v>
      </c>
    </row>
    <row r="5" spans="1:15" ht="17.25" thickBot="1" x14ac:dyDescent="0.3">
      <c r="A5" s="20" t="s">
        <v>112</v>
      </c>
      <c r="B5" s="34">
        <v>650</v>
      </c>
      <c r="C5" s="32">
        <v>0.114</v>
      </c>
      <c r="D5" s="32">
        <v>0.65</v>
      </c>
      <c r="E5" s="32">
        <v>-0.7</v>
      </c>
      <c r="F5">
        <v>1</v>
      </c>
      <c r="G5">
        <f t="shared" si="0"/>
        <v>0</v>
      </c>
      <c r="J5" s="8">
        <v>0.7</v>
      </c>
      <c r="K5">
        <f t="shared" si="1"/>
        <v>0.24499999999999994</v>
      </c>
      <c r="L5" s="28"/>
      <c r="N5">
        <v>1</v>
      </c>
      <c r="O5">
        <v>1</v>
      </c>
    </row>
    <row r="6" spans="1:15" ht="17.25" thickBot="1" x14ac:dyDescent="0.3">
      <c r="A6" s="20" t="s">
        <v>114</v>
      </c>
      <c r="B6" s="34">
        <v>700</v>
      </c>
      <c r="C6" s="32">
        <v>0.108</v>
      </c>
      <c r="D6" s="32">
        <v>0.44</v>
      </c>
      <c r="E6" s="32">
        <v>-0.69</v>
      </c>
      <c r="F6">
        <v>1</v>
      </c>
      <c r="G6">
        <f t="shared" si="0"/>
        <v>0</v>
      </c>
      <c r="J6" s="8">
        <v>0.7</v>
      </c>
      <c r="K6">
        <f t="shared" si="1"/>
        <v>0.10099999999999998</v>
      </c>
      <c r="N6">
        <v>1</v>
      </c>
      <c r="O6">
        <v>1</v>
      </c>
    </row>
    <row r="7" spans="1:15" ht="17.25" thickBot="1" x14ac:dyDescent="0.3">
      <c r="A7" s="20" t="s">
        <v>116</v>
      </c>
      <c r="B7" s="34">
        <v>400</v>
      </c>
      <c r="C7" s="32">
        <v>7.6999999999999999E-2</v>
      </c>
      <c r="D7" s="32">
        <v>0.46</v>
      </c>
      <c r="E7" s="32">
        <v>-0.6</v>
      </c>
      <c r="F7">
        <v>1</v>
      </c>
      <c r="G7">
        <f t="shared" si="0"/>
        <v>0</v>
      </c>
      <c r="J7" s="8">
        <v>0.7</v>
      </c>
      <c r="K7">
        <f t="shared" si="1"/>
        <v>0.14199999999999999</v>
      </c>
      <c r="N7">
        <v>1</v>
      </c>
      <c r="O7">
        <v>1</v>
      </c>
    </row>
    <row r="8" spans="1:15" ht="17.25" thickBot="1" x14ac:dyDescent="0.3">
      <c r="A8" s="20" t="s">
        <v>118</v>
      </c>
      <c r="B8" s="34">
        <v>500</v>
      </c>
      <c r="C8" s="32">
        <v>8.6999999999999994E-2</v>
      </c>
      <c r="D8" s="32">
        <v>0.43</v>
      </c>
      <c r="E8" s="32">
        <v>-0.69</v>
      </c>
      <c r="F8">
        <v>1</v>
      </c>
      <c r="G8">
        <f t="shared" si="0"/>
        <v>0</v>
      </c>
      <c r="J8" s="8">
        <v>0.7</v>
      </c>
      <c r="K8">
        <f t="shared" si="1"/>
        <v>9.3999999999999972E-2</v>
      </c>
      <c r="N8">
        <v>0</v>
      </c>
      <c r="O8">
        <v>1</v>
      </c>
    </row>
    <row r="9" spans="1:15" ht="17.25" thickBot="1" x14ac:dyDescent="0.3">
      <c r="A9" s="20" t="s">
        <v>120</v>
      </c>
      <c r="B9" s="34">
        <v>600</v>
      </c>
      <c r="C9" s="32">
        <v>8.3000000000000004E-2</v>
      </c>
      <c r="D9" s="32">
        <v>0.52</v>
      </c>
      <c r="E9" s="32">
        <v>-0.6</v>
      </c>
      <c r="F9">
        <v>0</v>
      </c>
      <c r="G9">
        <f t="shared" si="0"/>
        <v>1</v>
      </c>
      <c r="J9" s="8">
        <v>0.7</v>
      </c>
      <c r="K9">
        <f t="shared" si="1"/>
        <v>0.18399999999999997</v>
      </c>
      <c r="N9">
        <v>1</v>
      </c>
      <c r="O9">
        <v>0</v>
      </c>
    </row>
    <row r="10" spans="1:15" ht="17.25" thickBot="1" x14ac:dyDescent="0.3">
      <c r="A10" s="20" t="s">
        <v>121</v>
      </c>
      <c r="B10" s="34">
        <v>1580</v>
      </c>
      <c r="C10" s="32">
        <v>9.2999999999999999E-2</v>
      </c>
      <c r="D10" s="32">
        <v>0.54</v>
      </c>
      <c r="E10" s="32">
        <v>-0.69</v>
      </c>
      <c r="F10">
        <v>0</v>
      </c>
      <c r="G10">
        <f t="shared" si="0"/>
        <v>1</v>
      </c>
      <c r="J10" s="8">
        <v>0.7</v>
      </c>
      <c r="K10">
        <f t="shared" si="1"/>
        <v>0.17099999999999999</v>
      </c>
      <c r="N10">
        <v>0</v>
      </c>
      <c r="O10">
        <v>0</v>
      </c>
    </row>
    <row r="11" spans="1:15" ht="17.25" thickBot="1" x14ac:dyDescent="0.3">
      <c r="A11" s="20" t="s">
        <v>123</v>
      </c>
      <c r="B11" s="34">
        <v>1750</v>
      </c>
      <c r="C11" s="32">
        <v>0.10100000000000001</v>
      </c>
      <c r="D11" s="32">
        <v>0.63</v>
      </c>
      <c r="E11" s="32">
        <v>-0.61</v>
      </c>
      <c r="F11">
        <v>0</v>
      </c>
      <c r="G11">
        <f t="shared" si="0"/>
        <v>1</v>
      </c>
      <c r="J11" s="8">
        <v>0.7</v>
      </c>
      <c r="K11">
        <f t="shared" si="1"/>
        <v>0.2579999999999999</v>
      </c>
      <c r="N11">
        <v>0</v>
      </c>
      <c r="O11">
        <v>0</v>
      </c>
    </row>
    <row r="12" spans="1:15" ht="17.25" thickBot="1" x14ac:dyDescent="0.3">
      <c r="A12" s="29" t="s">
        <v>137</v>
      </c>
      <c r="B12" s="21">
        <v>550</v>
      </c>
    </row>
    <row r="13" spans="1:15" ht="17.25" thickBot="1" x14ac:dyDescent="0.3">
      <c r="A13" s="29" t="s">
        <v>138</v>
      </c>
      <c r="B13" s="21">
        <v>450</v>
      </c>
    </row>
    <row r="14" spans="1:15" ht="17.25" thickBot="1" x14ac:dyDescent="0.3">
      <c r="A14" s="29" t="s">
        <v>139</v>
      </c>
      <c r="B14" s="21">
        <v>150</v>
      </c>
    </row>
    <row r="15" spans="1:15" x14ac:dyDescent="0.25">
      <c r="A15" s="29" t="s">
        <v>140</v>
      </c>
      <c r="B15" s="30">
        <f>SUM(B12:B14)</f>
        <v>1150</v>
      </c>
    </row>
    <row r="17" spans="2:5" x14ac:dyDescent="0.25">
      <c r="B17" s="28" t="s">
        <v>133</v>
      </c>
      <c r="C17" s="28" t="s">
        <v>134</v>
      </c>
      <c r="D17" s="28" t="s">
        <v>135</v>
      </c>
      <c r="E17" s="28" t="s">
        <v>136</v>
      </c>
    </row>
    <row r="18" spans="2:5" x14ac:dyDescent="0.25">
      <c r="B18" s="28">
        <f>SUMPRODUCT(B2:B11,F2:F11)+B$15</f>
        <v>4660</v>
      </c>
      <c r="C18" s="28">
        <v>3000</v>
      </c>
      <c r="D18" s="28">
        <v>5000</v>
      </c>
      <c r="E18" s="28">
        <v>7000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AHP_TOPSIS</vt:lpstr>
      <vt:lpstr>DEMATEL</vt:lpstr>
      <vt:lpstr>Kano</vt:lpstr>
      <vt:lpstr>Satisfaction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Wang</dc:creator>
  <cp:lastModifiedBy>Jason Wang</cp:lastModifiedBy>
  <dcterms:created xsi:type="dcterms:W3CDTF">2022-01-28T00:54:04Z</dcterms:created>
  <dcterms:modified xsi:type="dcterms:W3CDTF">2023-01-04T07:47:12Z</dcterms:modified>
</cp:coreProperties>
</file>