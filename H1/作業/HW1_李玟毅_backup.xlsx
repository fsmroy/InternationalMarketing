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pegatroncorp-my.sharepoint.com/personal/roy_lee_pegatroncorp_com/Documents/交大/國際行銷/W2/作業/"/>
    </mc:Choice>
  </mc:AlternateContent>
  <xr:revisionPtr revIDLastSave="1" documentId="13_ncr:1_{358D19A3-6958-4819-8ED1-4425E1536A06}" xr6:coauthVersionLast="47" xr6:coauthVersionMax="47" xr10:uidLastSave="{B461BACE-0B7F-42C1-9B73-07E96E2FB3B8}"/>
  <bookViews>
    <workbookView xWindow="-108" yWindow="-108" windowWidth="23256" windowHeight="12456" activeTab="3" xr2:uid="{00000000-000D-0000-FFFF-FFFF00000000}"/>
  </bookViews>
  <sheets>
    <sheet name="Q1 SMA" sheetId="1" r:id="rId1"/>
    <sheet name="Q2 EMA" sheetId="2" r:id="rId2"/>
    <sheet name="Q3 迴歸" sheetId="3" r:id="rId3"/>
    <sheet name="Q4 Portfoli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5" i="4" l="1"/>
  <c r="D75" i="4"/>
  <c r="C75" i="4"/>
  <c r="B75" i="4"/>
  <c r="E74" i="4"/>
  <c r="D74" i="4"/>
  <c r="C74" i="4"/>
  <c r="B74" i="4"/>
  <c r="D73" i="4"/>
  <c r="E69" i="4"/>
  <c r="D69" i="4"/>
  <c r="C69" i="4"/>
  <c r="B69" i="4"/>
  <c r="E68" i="4"/>
  <c r="D68" i="4"/>
  <c r="C68" i="4"/>
  <c r="B68" i="4"/>
  <c r="E67" i="4"/>
  <c r="D67" i="4"/>
  <c r="C67" i="4"/>
  <c r="B67" i="4"/>
  <c r="E66" i="4"/>
  <c r="D66" i="4"/>
  <c r="C66" i="4"/>
  <c r="B66" i="4"/>
  <c r="E65" i="4"/>
  <c r="D65" i="4"/>
  <c r="C65" i="4"/>
  <c r="B65" i="4"/>
  <c r="E64" i="4"/>
  <c r="D64" i="4"/>
  <c r="C64" i="4"/>
  <c r="B64" i="4"/>
  <c r="E63" i="4"/>
  <c r="D63" i="4"/>
  <c r="C63" i="4"/>
  <c r="B63" i="4"/>
  <c r="E62" i="4"/>
  <c r="D62" i="4"/>
  <c r="C62" i="4"/>
  <c r="B62" i="4"/>
  <c r="E61" i="4"/>
  <c r="D61" i="4"/>
  <c r="C61" i="4"/>
  <c r="B61" i="4"/>
  <c r="E60" i="4"/>
  <c r="D60" i="4"/>
  <c r="C60" i="4"/>
  <c r="B60" i="4"/>
  <c r="E59" i="4"/>
  <c r="D59" i="4"/>
  <c r="C59" i="4"/>
  <c r="B59" i="4"/>
  <c r="E58" i="4"/>
  <c r="D58" i="4"/>
  <c r="C58" i="4"/>
  <c r="B58" i="4"/>
  <c r="E57" i="4"/>
  <c r="D57" i="4"/>
  <c r="C57" i="4"/>
  <c r="B57" i="4"/>
  <c r="E56" i="4"/>
  <c r="D56" i="4"/>
  <c r="C56" i="4"/>
  <c r="B56" i="4"/>
  <c r="E55" i="4"/>
  <c r="D55" i="4"/>
  <c r="C55" i="4"/>
  <c r="B55" i="4"/>
  <c r="E54" i="4"/>
  <c r="D54" i="4"/>
  <c r="C54" i="4"/>
  <c r="B54" i="4"/>
  <c r="E53" i="4"/>
  <c r="D53" i="4"/>
  <c r="C53" i="4"/>
  <c r="B53" i="4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E73" i="4" s="1"/>
  <c r="D42" i="4"/>
  <c r="C42" i="4"/>
  <c r="C73" i="4" s="1"/>
  <c r="B42" i="4"/>
  <c r="E41" i="4"/>
  <c r="D41" i="4"/>
  <c r="C41" i="4"/>
  <c r="B41" i="4"/>
  <c r="E40" i="4"/>
  <c r="D40" i="4"/>
  <c r="C40" i="4"/>
  <c r="B40" i="4"/>
  <c r="E3" i="2"/>
  <c r="D3" i="2"/>
  <c r="C3" i="2"/>
  <c r="J2" i="2"/>
  <c r="I2" i="2"/>
  <c r="H2" i="2"/>
  <c r="G2" i="2"/>
  <c r="F2" i="2"/>
  <c r="E2" i="2"/>
  <c r="F181" i="1"/>
  <c r="J181" i="1" s="1"/>
  <c r="D181" i="1"/>
  <c r="H181" i="1" s="1"/>
  <c r="C181" i="1"/>
  <c r="G181" i="1" s="1"/>
  <c r="J180" i="1"/>
  <c r="I180" i="1"/>
  <c r="H180" i="1"/>
  <c r="G180" i="1"/>
  <c r="F180" i="1"/>
  <c r="E180" i="1"/>
  <c r="D180" i="1"/>
  <c r="C180" i="1"/>
  <c r="D179" i="1"/>
  <c r="C179" i="1"/>
  <c r="G178" i="1"/>
  <c r="E178" i="1"/>
  <c r="I178" i="1" s="1"/>
  <c r="D178" i="1"/>
  <c r="H178" i="1" s="1"/>
  <c r="C178" i="1"/>
  <c r="D177" i="1"/>
  <c r="C177" i="1"/>
  <c r="G177" i="1" s="1"/>
  <c r="G176" i="1"/>
  <c r="D176" i="1"/>
  <c r="C176" i="1"/>
  <c r="E176" i="1" s="1"/>
  <c r="I176" i="1" s="1"/>
  <c r="D175" i="1"/>
  <c r="C175" i="1"/>
  <c r="G175" i="1" s="1"/>
  <c r="G174" i="1"/>
  <c r="F174" i="1"/>
  <c r="J174" i="1" s="1"/>
  <c r="E174" i="1"/>
  <c r="I174" i="1" s="1"/>
  <c r="D174" i="1"/>
  <c r="H174" i="1" s="1"/>
  <c r="C174" i="1"/>
  <c r="F173" i="1"/>
  <c r="J173" i="1" s="1"/>
  <c r="E173" i="1"/>
  <c r="I173" i="1" s="1"/>
  <c r="D173" i="1"/>
  <c r="H173" i="1" s="1"/>
  <c r="C173" i="1"/>
  <c r="G173" i="1" s="1"/>
  <c r="H172" i="1"/>
  <c r="F172" i="1"/>
  <c r="J172" i="1" s="1"/>
  <c r="D172" i="1"/>
  <c r="C172" i="1"/>
  <c r="D171" i="1"/>
  <c r="C171" i="1"/>
  <c r="G171" i="1" s="1"/>
  <c r="D170" i="1"/>
  <c r="H170" i="1" s="1"/>
  <c r="C170" i="1"/>
  <c r="F169" i="1"/>
  <c r="J169" i="1" s="1"/>
  <c r="D169" i="1"/>
  <c r="H169" i="1" s="1"/>
  <c r="C169" i="1"/>
  <c r="D168" i="1"/>
  <c r="H168" i="1" s="1"/>
  <c r="C168" i="1"/>
  <c r="G168" i="1" s="1"/>
  <c r="F167" i="1"/>
  <c r="J167" i="1" s="1"/>
  <c r="D167" i="1"/>
  <c r="H167" i="1" s="1"/>
  <c r="C167" i="1"/>
  <c r="G167" i="1" s="1"/>
  <c r="I166" i="1"/>
  <c r="G166" i="1"/>
  <c r="D166" i="1"/>
  <c r="C166" i="1"/>
  <c r="E166" i="1" s="1"/>
  <c r="D165" i="1"/>
  <c r="C165" i="1"/>
  <c r="G165" i="1" s="1"/>
  <c r="J164" i="1"/>
  <c r="H164" i="1"/>
  <c r="G164" i="1"/>
  <c r="F164" i="1"/>
  <c r="E164" i="1"/>
  <c r="I164" i="1" s="1"/>
  <c r="D164" i="1"/>
  <c r="C164" i="1"/>
  <c r="H163" i="1"/>
  <c r="F163" i="1"/>
  <c r="J163" i="1" s="1"/>
  <c r="E163" i="1"/>
  <c r="I163" i="1" s="1"/>
  <c r="D163" i="1"/>
  <c r="C163" i="1"/>
  <c r="G163" i="1" s="1"/>
  <c r="H162" i="1"/>
  <c r="G162" i="1"/>
  <c r="F162" i="1"/>
  <c r="J162" i="1" s="1"/>
  <c r="E162" i="1"/>
  <c r="I162" i="1" s="1"/>
  <c r="D162" i="1"/>
  <c r="C162" i="1"/>
  <c r="E161" i="1"/>
  <c r="I161" i="1" s="1"/>
  <c r="D161" i="1"/>
  <c r="H161" i="1" s="1"/>
  <c r="C161" i="1"/>
  <c r="G161" i="1" s="1"/>
  <c r="H160" i="1"/>
  <c r="G160" i="1"/>
  <c r="F160" i="1"/>
  <c r="J160" i="1" s="1"/>
  <c r="E160" i="1"/>
  <c r="I160" i="1" s="1"/>
  <c r="D160" i="1"/>
  <c r="C160" i="1"/>
  <c r="J159" i="1"/>
  <c r="H159" i="1"/>
  <c r="F159" i="1"/>
  <c r="D159" i="1"/>
  <c r="C159" i="1"/>
  <c r="H158" i="1"/>
  <c r="G158" i="1"/>
  <c r="F158" i="1"/>
  <c r="J158" i="1" s="1"/>
  <c r="E158" i="1"/>
  <c r="I158" i="1" s="1"/>
  <c r="D158" i="1"/>
  <c r="C158" i="1"/>
  <c r="F157" i="1"/>
  <c r="J157" i="1" s="1"/>
  <c r="E157" i="1"/>
  <c r="I157" i="1" s="1"/>
  <c r="D157" i="1"/>
  <c r="H157" i="1" s="1"/>
  <c r="C157" i="1"/>
  <c r="G157" i="1" s="1"/>
  <c r="I156" i="1"/>
  <c r="H156" i="1"/>
  <c r="G156" i="1"/>
  <c r="F156" i="1"/>
  <c r="J156" i="1" s="1"/>
  <c r="E156" i="1"/>
  <c r="D156" i="1"/>
  <c r="C156" i="1"/>
  <c r="H155" i="1"/>
  <c r="F155" i="1"/>
  <c r="J155" i="1" s="1"/>
  <c r="D155" i="1"/>
  <c r="C155" i="1"/>
  <c r="G155" i="1" s="1"/>
  <c r="J154" i="1"/>
  <c r="H154" i="1"/>
  <c r="G154" i="1"/>
  <c r="F154" i="1"/>
  <c r="E154" i="1"/>
  <c r="I154" i="1" s="1"/>
  <c r="D154" i="1"/>
  <c r="C154" i="1"/>
  <c r="F153" i="1"/>
  <c r="J153" i="1" s="1"/>
  <c r="E153" i="1"/>
  <c r="I153" i="1" s="1"/>
  <c r="D153" i="1"/>
  <c r="H153" i="1" s="1"/>
  <c r="C153" i="1"/>
  <c r="G153" i="1" s="1"/>
  <c r="J152" i="1"/>
  <c r="H152" i="1"/>
  <c r="G152" i="1"/>
  <c r="F152" i="1"/>
  <c r="E152" i="1"/>
  <c r="I152" i="1" s="1"/>
  <c r="D152" i="1"/>
  <c r="C152" i="1"/>
  <c r="F151" i="1"/>
  <c r="J151" i="1" s="1"/>
  <c r="D151" i="1"/>
  <c r="H151" i="1" s="1"/>
  <c r="C151" i="1"/>
  <c r="I150" i="1"/>
  <c r="H150" i="1"/>
  <c r="G150" i="1"/>
  <c r="F150" i="1"/>
  <c r="J150" i="1" s="1"/>
  <c r="E150" i="1"/>
  <c r="D150" i="1"/>
  <c r="C150" i="1"/>
  <c r="D149" i="1"/>
  <c r="C149" i="1"/>
  <c r="G149" i="1" s="1"/>
  <c r="J148" i="1"/>
  <c r="I148" i="1"/>
  <c r="H148" i="1"/>
  <c r="G148" i="1"/>
  <c r="F148" i="1"/>
  <c r="E148" i="1"/>
  <c r="D148" i="1"/>
  <c r="C148" i="1"/>
  <c r="H147" i="1"/>
  <c r="F147" i="1"/>
  <c r="J147" i="1" s="1"/>
  <c r="E147" i="1"/>
  <c r="I147" i="1" s="1"/>
  <c r="D147" i="1"/>
  <c r="C147" i="1"/>
  <c r="G147" i="1" s="1"/>
  <c r="H146" i="1"/>
  <c r="G146" i="1"/>
  <c r="F146" i="1"/>
  <c r="J146" i="1" s="1"/>
  <c r="E146" i="1"/>
  <c r="I146" i="1" s="1"/>
  <c r="D146" i="1"/>
  <c r="C146" i="1"/>
  <c r="E145" i="1"/>
  <c r="I145" i="1" s="1"/>
  <c r="D145" i="1"/>
  <c r="H145" i="1" s="1"/>
  <c r="C145" i="1"/>
  <c r="G145" i="1" s="1"/>
  <c r="H144" i="1"/>
  <c r="G144" i="1"/>
  <c r="F144" i="1"/>
  <c r="J144" i="1" s="1"/>
  <c r="E144" i="1"/>
  <c r="I144" i="1" s="1"/>
  <c r="D144" i="1"/>
  <c r="C144" i="1"/>
  <c r="H143" i="1"/>
  <c r="F143" i="1"/>
  <c r="J143" i="1" s="1"/>
  <c r="D143" i="1"/>
  <c r="C143" i="1"/>
  <c r="H142" i="1"/>
  <c r="G142" i="1"/>
  <c r="F142" i="1"/>
  <c r="J142" i="1" s="1"/>
  <c r="E142" i="1"/>
  <c r="I142" i="1" s="1"/>
  <c r="D142" i="1"/>
  <c r="C142" i="1"/>
  <c r="J141" i="1"/>
  <c r="H141" i="1"/>
  <c r="G141" i="1"/>
  <c r="F141" i="1"/>
  <c r="E141" i="1"/>
  <c r="I141" i="1" s="1"/>
  <c r="D141" i="1"/>
  <c r="C141" i="1"/>
  <c r="J140" i="1"/>
  <c r="H140" i="1"/>
  <c r="G140" i="1"/>
  <c r="F140" i="1"/>
  <c r="E140" i="1"/>
  <c r="I140" i="1" s="1"/>
  <c r="D140" i="1"/>
  <c r="C140" i="1"/>
  <c r="J139" i="1"/>
  <c r="H139" i="1"/>
  <c r="G139" i="1"/>
  <c r="F139" i="1"/>
  <c r="E139" i="1"/>
  <c r="I139" i="1" s="1"/>
  <c r="D139" i="1"/>
  <c r="C139" i="1"/>
  <c r="I138" i="1"/>
  <c r="H138" i="1"/>
  <c r="G138" i="1"/>
  <c r="F138" i="1"/>
  <c r="J138" i="1" s="1"/>
  <c r="E138" i="1"/>
  <c r="D138" i="1"/>
  <c r="C138" i="1"/>
  <c r="G137" i="1"/>
  <c r="E137" i="1"/>
  <c r="I137" i="1" s="1"/>
  <c r="D137" i="1"/>
  <c r="H137" i="1" s="1"/>
  <c r="C137" i="1"/>
  <c r="H136" i="1"/>
  <c r="G136" i="1"/>
  <c r="F136" i="1"/>
  <c r="J136" i="1" s="1"/>
  <c r="E136" i="1"/>
  <c r="I136" i="1" s="1"/>
  <c r="D136" i="1"/>
  <c r="C136" i="1"/>
  <c r="E135" i="1"/>
  <c r="I135" i="1" s="1"/>
  <c r="D135" i="1"/>
  <c r="H135" i="1" s="1"/>
  <c r="C135" i="1"/>
  <c r="G135" i="1" s="1"/>
  <c r="J134" i="1"/>
  <c r="H134" i="1"/>
  <c r="G134" i="1"/>
  <c r="F134" i="1"/>
  <c r="E134" i="1"/>
  <c r="I134" i="1" s="1"/>
  <c r="D134" i="1"/>
  <c r="C134" i="1"/>
  <c r="H133" i="1"/>
  <c r="G133" i="1"/>
  <c r="D133" i="1"/>
  <c r="F133" i="1" s="1"/>
  <c r="J133" i="1" s="1"/>
  <c r="C133" i="1"/>
  <c r="E133" i="1" s="1"/>
  <c r="I133" i="1" s="1"/>
  <c r="J132" i="1"/>
  <c r="I132" i="1"/>
  <c r="H132" i="1"/>
  <c r="G132" i="1"/>
  <c r="F132" i="1"/>
  <c r="E132" i="1"/>
  <c r="D132" i="1"/>
  <c r="C132" i="1"/>
  <c r="H131" i="1"/>
  <c r="G131" i="1"/>
  <c r="F131" i="1"/>
  <c r="J131" i="1" s="1"/>
  <c r="E131" i="1"/>
  <c r="I131" i="1" s="1"/>
  <c r="D131" i="1"/>
  <c r="C131" i="1"/>
  <c r="J130" i="1"/>
  <c r="H130" i="1"/>
  <c r="G130" i="1"/>
  <c r="F130" i="1"/>
  <c r="E130" i="1"/>
  <c r="I130" i="1" s="1"/>
  <c r="D130" i="1"/>
  <c r="C130" i="1"/>
  <c r="D129" i="1"/>
  <c r="C129" i="1"/>
  <c r="J128" i="1"/>
  <c r="I128" i="1"/>
  <c r="H128" i="1"/>
  <c r="G128" i="1"/>
  <c r="F128" i="1"/>
  <c r="E128" i="1"/>
  <c r="D128" i="1"/>
  <c r="C128" i="1"/>
  <c r="F127" i="1"/>
  <c r="J127" i="1" s="1"/>
  <c r="D127" i="1"/>
  <c r="H127" i="1" s="1"/>
  <c r="C127" i="1"/>
  <c r="G127" i="1" s="1"/>
  <c r="I126" i="1"/>
  <c r="H126" i="1"/>
  <c r="G126" i="1"/>
  <c r="F126" i="1"/>
  <c r="J126" i="1" s="1"/>
  <c r="E126" i="1"/>
  <c r="D126" i="1"/>
  <c r="C126" i="1"/>
  <c r="E125" i="1"/>
  <c r="I125" i="1" s="1"/>
  <c r="D125" i="1"/>
  <c r="C125" i="1"/>
  <c r="G125" i="1" s="1"/>
  <c r="H124" i="1"/>
  <c r="G124" i="1"/>
  <c r="F124" i="1"/>
  <c r="J124" i="1" s="1"/>
  <c r="E124" i="1"/>
  <c r="I124" i="1" s="1"/>
  <c r="D124" i="1"/>
  <c r="C124" i="1"/>
  <c r="D123" i="1"/>
  <c r="C123" i="1"/>
  <c r="H122" i="1"/>
  <c r="G122" i="1"/>
  <c r="F122" i="1"/>
  <c r="J122" i="1" s="1"/>
  <c r="E122" i="1"/>
  <c r="I122" i="1" s="1"/>
  <c r="D122" i="1"/>
  <c r="C122" i="1"/>
  <c r="H121" i="1"/>
  <c r="F121" i="1"/>
  <c r="J121" i="1" s="1"/>
  <c r="D121" i="1"/>
  <c r="C121" i="1"/>
  <c r="J120" i="1"/>
  <c r="H120" i="1"/>
  <c r="F120" i="1"/>
  <c r="D120" i="1"/>
  <c r="C120" i="1"/>
  <c r="G120" i="1" s="1"/>
  <c r="G119" i="1"/>
  <c r="F119" i="1"/>
  <c r="J119" i="1" s="1"/>
  <c r="E119" i="1"/>
  <c r="I119" i="1" s="1"/>
  <c r="D119" i="1"/>
  <c r="H119" i="1" s="1"/>
  <c r="C119" i="1"/>
  <c r="H118" i="1"/>
  <c r="G118" i="1"/>
  <c r="F118" i="1"/>
  <c r="J118" i="1" s="1"/>
  <c r="E118" i="1"/>
  <c r="I118" i="1" s="1"/>
  <c r="D118" i="1"/>
  <c r="C118" i="1"/>
  <c r="F117" i="1"/>
  <c r="J117" i="1" s="1"/>
  <c r="E117" i="1"/>
  <c r="I117" i="1" s="1"/>
  <c r="D117" i="1"/>
  <c r="H117" i="1" s="1"/>
  <c r="C117" i="1"/>
  <c r="G117" i="1" s="1"/>
  <c r="H116" i="1"/>
  <c r="F116" i="1"/>
  <c r="J116" i="1" s="1"/>
  <c r="D116" i="1"/>
  <c r="C116" i="1"/>
  <c r="J115" i="1"/>
  <c r="H115" i="1"/>
  <c r="E115" i="1"/>
  <c r="I115" i="1" s="1"/>
  <c r="D115" i="1"/>
  <c r="F115" i="1" s="1"/>
  <c r="C115" i="1"/>
  <c r="G115" i="1" s="1"/>
  <c r="H114" i="1"/>
  <c r="G114" i="1"/>
  <c r="F114" i="1"/>
  <c r="J114" i="1" s="1"/>
  <c r="E114" i="1"/>
  <c r="I114" i="1" s="1"/>
  <c r="D114" i="1"/>
  <c r="C114" i="1"/>
  <c r="H113" i="1"/>
  <c r="G113" i="1"/>
  <c r="D113" i="1"/>
  <c r="F113" i="1" s="1"/>
  <c r="J113" i="1" s="1"/>
  <c r="C113" i="1"/>
  <c r="E113" i="1" s="1"/>
  <c r="I113" i="1" s="1"/>
  <c r="H112" i="1"/>
  <c r="G112" i="1"/>
  <c r="F112" i="1"/>
  <c r="J112" i="1" s="1"/>
  <c r="D112" i="1"/>
  <c r="C112" i="1"/>
  <c r="E112" i="1" s="1"/>
  <c r="I112" i="1" s="1"/>
  <c r="J111" i="1"/>
  <c r="H111" i="1"/>
  <c r="G111" i="1"/>
  <c r="F111" i="1"/>
  <c r="D111" i="1"/>
  <c r="C111" i="1"/>
  <c r="E111" i="1" s="1"/>
  <c r="I111" i="1" s="1"/>
  <c r="F110" i="1"/>
  <c r="J110" i="1" s="1"/>
  <c r="D110" i="1"/>
  <c r="H110" i="1" s="1"/>
  <c r="C110" i="1"/>
  <c r="J109" i="1"/>
  <c r="H109" i="1"/>
  <c r="G109" i="1"/>
  <c r="F109" i="1"/>
  <c r="E109" i="1"/>
  <c r="I109" i="1" s="1"/>
  <c r="D109" i="1"/>
  <c r="C109" i="1"/>
  <c r="E108" i="1"/>
  <c r="I108" i="1" s="1"/>
  <c r="D108" i="1"/>
  <c r="C108" i="1"/>
  <c r="G108" i="1" s="1"/>
  <c r="H107" i="1"/>
  <c r="G107" i="1"/>
  <c r="F107" i="1"/>
  <c r="J107" i="1" s="1"/>
  <c r="E107" i="1"/>
  <c r="I107" i="1" s="1"/>
  <c r="D107" i="1"/>
  <c r="C107" i="1"/>
  <c r="D106" i="1"/>
  <c r="C106" i="1"/>
  <c r="G106" i="1" s="1"/>
  <c r="J105" i="1"/>
  <c r="H105" i="1"/>
  <c r="G105" i="1"/>
  <c r="F105" i="1"/>
  <c r="E105" i="1"/>
  <c r="I105" i="1" s="1"/>
  <c r="D105" i="1"/>
  <c r="C105" i="1"/>
  <c r="E104" i="1"/>
  <c r="I104" i="1" s="1"/>
  <c r="D104" i="1"/>
  <c r="C104" i="1"/>
  <c r="G104" i="1" s="1"/>
  <c r="H103" i="1"/>
  <c r="G103" i="1"/>
  <c r="F103" i="1"/>
  <c r="J103" i="1" s="1"/>
  <c r="E103" i="1"/>
  <c r="I103" i="1" s="1"/>
  <c r="D103" i="1"/>
  <c r="C103" i="1"/>
  <c r="E102" i="1"/>
  <c r="I102" i="1" s="1"/>
  <c r="D102" i="1"/>
  <c r="C102" i="1"/>
  <c r="G102" i="1" s="1"/>
  <c r="J101" i="1"/>
  <c r="I101" i="1"/>
  <c r="H101" i="1"/>
  <c r="G101" i="1"/>
  <c r="F101" i="1"/>
  <c r="E101" i="1"/>
  <c r="D101" i="1"/>
  <c r="C101" i="1"/>
  <c r="E100" i="1"/>
  <c r="I100" i="1" s="1"/>
  <c r="D100" i="1"/>
  <c r="C100" i="1"/>
  <c r="G100" i="1" s="1"/>
  <c r="H99" i="1"/>
  <c r="G99" i="1"/>
  <c r="F99" i="1"/>
  <c r="J99" i="1" s="1"/>
  <c r="E99" i="1"/>
  <c r="I99" i="1" s="1"/>
  <c r="D99" i="1"/>
  <c r="C99" i="1"/>
  <c r="D98" i="1"/>
  <c r="C98" i="1"/>
  <c r="G98" i="1" s="1"/>
  <c r="J97" i="1"/>
  <c r="H97" i="1"/>
  <c r="G97" i="1"/>
  <c r="F97" i="1"/>
  <c r="E97" i="1"/>
  <c r="I97" i="1" s="1"/>
  <c r="D97" i="1"/>
  <c r="C97" i="1"/>
  <c r="E96" i="1"/>
  <c r="I96" i="1" s="1"/>
  <c r="D96" i="1"/>
  <c r="C96" i="1"/>
  <c r="G96" i="1" s="1"/>
  <c r="H95" i="1"/>
  <c r="G95" i="1"/>
  <c r="F95" i="1"/>
  <c r="J95" i="1" s="1"/>
  <c r="E95" i="1"/>
  <c r="I95" i="1" s="1"/>
  <c r="D95" i="1"/>
  <c r="C95" i="1"/>
  <c r="E94" i="1"/>
  <c r="I94" i="1" s="1"/>
  <c r="D94" i="1"/>
  <c r="C94" i="1"/>
  <c r="G94" i="1" s="1"/>
  <c r="J93" i="1"/>
  <c r="I93" i="1"/>
  <c r="H93" i="1"/>
  <c r="G93" i="1"/>
  <c r="F93" i="1"/>
  <c r="E93" i="1"/>
  <c r="D93" i="1"/>
  <c r="C93" i="1"/>
  <c r="E92" i="1"/>
  <c r="I92" i="1" s="1"/>
  <c r="D92" i="1"/>
  <c r="C92" i="1"/>
  <c r="G92" i="1" s="1"/>
  <c r="H91" i="1"/>
  <c r="G91" i="1"/>
  <c r="F91" i="1"/>
  <c r="J91" i="1" s="1"/>
  <c r="E91" i="1"/>
  <c r="I91" i="1" s="1"/>
  <c r="D91" i="1"/>
  <c r="C91" i="1"/>
  <c r="D90" i="1"/>
  <c r="C90" i="1"/>
  <c r="G90" i="1" s="1"/>
  <c r="J89" i="1"/>
  <c r="H89" i="1"/>
  <c r="G89" i="1"/>
  <c r="F89" i="1"/>
  <c r="E89" i="1"/>
  <c r="I89" i="1" s="1"/>
  <c r="D89" i="1"/>
  <c r="C89" i="1"/>
  <c r="E88" i="1"/>
  <c r="I88" i="1" s="1"/>
  <c r="D88" i="1"/>
  <c r="C88" i="1"/>
  <c r="G88" i="1" s="1"/>
  <c r="H87" i="1"/>
  <c r="G87" i="1"/>
  <c r="F87" i="1"/>
  <c r="J87" i="1" s="1"/>
  <c r="E87" i="1"/>
  <c r="I87" i="1" s="1"/>
  <c r="D87" i="1"/>
  <c r="C87" i="1"/>
  <c r="E86" i="1"/>
  <c r="I86" i="1" s="1"/>
  <c r="D86" i="1"/>
  <c r="C86" i="1"/>
  <c r="G86" i="1" s="1"/>
  <c r="J85" i="1"/>
  <c r="I85" i="1"/>
  <c r="H85" i="1"/>
  <c r="G85" i="1"/>
  <c r="F85" i="1"/>
  <c r="E85" i="1"/>
  <c r="D85" i="1"/>
  <c r="C85" i="1"/>
  <c r="E84" i="1"/>
  <c r="I84" i="1" s="1"/>
  <c r="D84" i="1"/>
  <c r="C84" i="1"/>
  <c r="G84" i="1" s="1"/>
  <c r="H83" i="1"/>
  <c r="G83" i="1"/>
  <c r="F83" i="1"/>
  <c r="J83" i="1" s="1"/>
  <c r="E83" i="1"/>
  <c r="I83" i="1" s="1"/>
  <c r="D83" i="1"/>
  <c r="C83" i="1"/>
  <c r="E82" i="1"/>
  <c r="I82" i="1" s="1"/>
  <c r="D82" i="1"/>
  <c r="C82" i="1"/>
  <c r="G82" i="1" s="1"/>
  <c r="H81" i="1"/>
  <c r="G81" i="1"/>
  <c r="F81" i="1"/>
  <c r="J81" i="1" s="1"/>
  <c r="E81" i="1"/>
  <c r="I81" i="1" s="1"/>
  <c r="D81" i="1"/>
  <c r="C81" i="1"/>
  <c r="D80" i="1"/>
  <c r="C80" i="1"/>
  <c r="G80" i="1" s="1"/>
  <c r="J79" i="1"/>
  <c r="I79" i="1"/>
  <c r="H79" i="1"/>
  <c r="G79" i="1"/>
  <c r="F79" i="1"/>
  <c r="E79" i="1"/>
  <c r="D79" i="1"/>
  <c r="C79" i="1"/>
  <c r="E78" i="1"/>
  <c r="I78" i="1" s="1"/>
  <c r="D78" i="1"/>
  <c r="C78" i="1"/>
  <c r="G78" i="1" s="1"/>
  <c r="H77" i="1"/>
  <c r="G77" i="1"/>
  <c r="F77" i="1"/>
  <c r="J77" i="1" s="1"/>
  <c r="E77" i="1"/>
  <c r="I77" i="1" s="1"/>
  <c r="D77" i="1"/>
  <c r="C77" i="1"/>
  <c r="D76" i="1"/>
  <c r="C76" i="1"/>
  <c r="J75" i="1"/>
  <c r="I75" i="1"/>
  <c r="H75" i="1"/>
  <c r="G75" i="1"/>
  <c r="F75" i="1"/>
  <c r="E75" i="1"/>
  <c r="D75" i="1"/>
  <c r="C75" i="1"/>
  <c r="D74" i="1"/>
  <c r="C74" i="1"/>
  <c r="G74" i="1" s="1"/>
  <c r="I73" i="1"/>
  <c r="H73" i="1"/>
  <c r="G73" i="1"/>
  <c r="F73" i="1"/>
  <c r="J73" i="1" s="1"/>
  <c r="E73" i="1"/>
  <c r="D73" i="1"/>
  <c r="C73" i="1"/>
  <c r="D72" i="1"/>
  <c r="C72" i="1"/>
  <c r="G72" i="1" s="1"/>
  <c r="H71" i="1"/>
  <c r="G71" i="1"/>
  <c r="F71" i="1"/>
  <c r="J71" i="1" s="1"/>
  <c r="E71" i="1"/>
  <c r="I71" i="1" s="1"/>
  <c r="D71" i="1"/>
  <c r="C71" i="1"/>
  <c r="D70" i="1"/>
  <c r="C70" i="1"/>
  <c r="G70" i="1" s="1"/>
  <c r="J69" i="1"/>
  <c r="H69" i="1"/>
  <c r="G69" i="1"/>
  <c r="F69" i="1"/>
  <c r="E69" i="1"/>
  <c r="I69" i="1" s="1"/>
  <c r="D69" i="1"/>
  <c r="C69" i="1"/>
  <c r="I68" i="1"/>
  <c r="E68" i="1"/>
  <c r="D68" i="1"/>
  <c r="C68" i="1"/>
  <c r="G68" i="1" s="1"/>
  <c r="H67" i="1"/>
  <c r="G67" i="1"/>
  <c r="F67" i="1"/>
  <c r="J67" i="1" s="1"/>
  <c r="E67" i="1"/>
  <c r="I67" i="1" s="1"/>
  <c r="D67" i="1"/>
  <c r="C67" i="1"/>
  <c r="D66" i="1"/>
  <c r="C66" i="1"/>
  <c r="J65" i="1"/>
  <c r="H65" i="1"/>
  <c r="G65" i="1"/>
  <c r="F65" i="1"/>
  <c r="E65" i="1"/>
  <c r="I65" i="1" s="1"/>
  <c r="D65" i="1"/>
  <c r="C65" i="1"/>
  <c r="D64" i="1"/>
  <c r="C64" i="1"/>
  <c r="G64" i="1" s="1"/>
  <c r="J63" i="1"/>
  <c r="I63" i="1"/>
  <c r="H63" i="1"/>
  <c r="G63" i="1"/>
  <c r="F63" i="1"/>
  <c r="E63" i="1"/>
  <c r="D63" i="1"/>
  <c r="C63" i="1"/>
  <c r="E62" i="1"/>
  <c r="I62" i="1" s="1"/>
  <c r="D62" i="1"/>
  <c r="C62" i="1"/>
  <c r="G62" i="1" s="1"/>
  <c r="H61" i="1"/>
  <c r="G61" i="1"/>
  <c r="F61" i="1"/>
  <c r="J61" i="1" s="1"/>
  <c r="E61" i="1"/>
  <c r="I61" i="1" s="1"/>
  <c r="D61" i="1"/>
  <c r="C61" i="1"/>
  <c r="E60" i="1"/>
  <c r="I60" i="1" s="1"/>
  <c r="D60" i="1"/>
  <c r="C60" i="1"/>
  <c r="G60" i="1" s="1"/>
  <c r="H59" i="1"/>
  <c r="G59" i="1"/>
  <c r="F59" i="1"/>
  <c r="J59" i="1" s="1"/>
  <c r="E59" i="1"/>
  <c r="I59" i="1" s="1"/>
  <c r="D59" i="1"/>
  <c r="C59" i="1"/>
  <c r="D58" i="1"/>
  <c r="C58" i="1"/>
  <c r="G58" i="1" s="1"/>
  <c r="I57" i="1"/>
  <c r="H57" i="1"/>
  <c r="G57" i="1"/>
  <c r="F57" i="1"/>
  <c r="J57" i="1" s="1"/>
  <c r="E57" i="1"/>
  <c r="D57" i="1"/>
  <c r="C57" i="1"/>
  <c r="D56" i="1"/>
  <c r="C56" i="1"/>
  <c r="G56" i="1" s="1"/>
  <c r="H55" i="1"/>
  <c r="G55" i="1"/>
  <c r="F55" i="1"/>
  <c r="J55" i="1" s="1"/>
  <c r="E55" i="1"/>
  <c r="I55" i="1" s="1"/>
  <c r="D55" i="1"/>
  <c r="C55" i="1"/>
  <c r="E54" i="1"/>
  <c r="I54" i="1" s="1"/>
  <c r="D54" i="1"/>
  <c r="C54" i="1"/>
  <c r="G54" i="1" s="1"/>
  <c r="J53" i="1"/>
  <c r="I53" i="1"/>
  <c r="H53" i="1"/>
  <c r="G53" i="1"/>
  <c r="F53" i="1"/>
  <c r="E53" i="1"/>
  <c r="D53" i="1"/>
  <c r="C53" i="1"/>
  <c r="E52" i="1"/>
  <c r="I52" i="1" s="1"/>
  <c r="D52" i="1"/>
  <c r="C52" i="1"/>
  <c r="G52" i="1" s="1"/>
  <c r="H51" i="1"/>
  <c r="G51" i="1"/>
  <c r="F51" i="1"/>
  <c r="J51" i="1" s="1"/>
  <c r="E51" i="1"/>
  <c r="I51" i="1" s="1"/>
  <c r="D51" i="1"/>
  <c r="C51" i="1"/>
  <c r="E50" i="1"/>
  <c r="I50" i="1" s="1"/>
  <c r="D50" i="1"/>
  <c r="C50" i="1"/>
  <c r="G50" i="1" s="1"/>
  <c r="H49" i="1"/>
  <c r="G49" i="1"/>
  <c r="F49" i="1"/>
  <c r="J49" i="1" s="1"/>
  <c r="E49" i="1"/>
  <c r="I49" i="1" s="1"/>
  <c r="D49" i="1"/>
  <c r="C49" i="1"/>
  <c r="D48" i="1"/>
  <c r="C48" i="1"/>
  <c r="G48" i="1" s="1"/>
  <c r="J47" i="1"/>
  <c r="I47" i="1"/>
  <c r="H47" i="1"/>
  <c r="G47" i="1"/>
  <c r="F47" i="1"/>
  <c r="E47" i="1"/>
  <c r="D47" i="1"/>
  <c r="C47" i="1"/>
  <c r="E46" i="1"/>
  <c r="I46" i="1" s="1"/>
  <c r="D46" i="1"/>
  <c r="C46" i="1"/>
  <c r="G46" i="1" s="1"/>
  <c r="H45" i="1"/>
  <c r="G45" i="1"/>
  <c r="F45" i="1"/>
  <c r="J45" i="1" s="1"/>
  <c r="E45" i="1"/>
  <c r="I45" i="1" s="1"/>
  <c r="D45" i="1"/>
  <c r="C45" i="1"/>
  <c r="D44" i="1"/>
  <c r="C44" i="1"/>
  <c r="J43" i="1"/>
  <c r="I43" i="1"/>
  <c r="H43" i="1"/>
  <c r="G43" i="1"/>
  <c r="F43" i="1"/>
  <c r="E43" i="1"/>
  <c r="D43" i="1"/>
  <c r="C43" i="1"/>
  <c r="D42" i="1"/>
  <c r="C42" i="1"/>
  <c r="G42" i="1" s="1"/>
  <c r="I41" i="1"/>
  <c r="H41" i="1"/>
  <c r="G41" i="1"/>
  <c r="F41" i="1"/>
  <c r="J41" i="1" s="1"/>
  <c r="E41" i="1"/>
  <c r="D41" i="1"/>
  <c r="C41" i="1"/>
  <c r="D40" i="1"/>
  <c r="C40" i="1"/>
  <c r="G40" i="1" s="1"/>
  <c r="H39" i="1"/>
  <c r="G39" i="1"/>
  <c r="F39" i="1"/>
  <c r="J39" i="1" s="1"/>
  <c r="E39" i="1"/>
  <c r="I39" i="1" s="1"/>
  <c r="D39" i="1"/>
  <c r="C39" i="1"/>
  <c r="D38" i="1"/>
  <c r="F38" i="1" s="1"/>
  <c r="J38" i="1" s="1"/>
  <c r="C38" i="1"/>
  <c r="G38" i="1" s="1"/>
  <c r="H37" i="1"/>
  <c r="G37" i="1"/>
  <c r="F37" i="1"/>
  <c r="J37" i="1" s="1"/>
  <c r="E37" i="1"/>
  <c r="I37" i="1" s="1"/>
  <c r="D37" i="1"/>
  <c r="C37" i="1"/>
  <c r="J36" i="1"/>
  <c r="D36" i="1"/>
  <c r="F36" i="1" s="1"/>
  <c r="C36" i="1"/>
  <c r="G36" i="1" s="1"/>
  <c r="J35" i="1"/>
  <c r="I35" i="1"/>
  <c r="H35" i="1"/>
  <c r="G35" i="1"/>
  <c r="F35" i="1"/>
  <c r="E35" i="1"/>
  <c r="D35" i="1"/>
  <c r="C35" i="1"/>
  <c r="J34" i="1"/>
  <c r="I34" i="1"/>
  <c r="H34" i="1"/>
  <c r="E34" i="1"/>
  <c r="D34" i="1"/>
  <c r="F34" i="1" s="1"/>
  <c r="C34" i="1"/>
  <c r="G34" i="1" s="1"/>
  <c r="H33" i="1"/>
  <c r="G33" i="1"/>
  <c r="F33" i="1"/>
  <c r="J33" i="1" s="1"/>
  <c r="E33" i="1"/>
  <c r="I33" i="1" s="1"/>
  <c r="D33" i="1"/>
  <c r="C33" i="1"/>
  <c r="D32" i="1"/>
  <c r="C32" i="1"/>
  <c r="G32" i="1" s="1"/>
  <c r="H31" i="1"/>
  <c r="G31" i="1"/>
  <c r="F31" i="1"/>
  <c r="J31" i="1" s="1"/>
  <c r="E31" i="1"/>
  <c r="I31" i="1" s="1"/>
  <c r="D31" i="1"/>
  <c r="C31" i="1"/>
  <c r="H30" i="1"/>
  <c r="D30" i="1"/>
  <c r="F30" i="1" s="1"/>
  <c r="J30" i="1" s="1"/>
  <c r="C30" i="1"/>
  <c r="J29" i="1"/>
  <c r="I29" i="1"/>
  <c r="H29" i="1"/>
  <c r="G29" i="1"/>
  <c r="F29" i="1"/>
  <c r="E29" i="1"/>
  <c r="D29" i="1"/>
  <c r="C29" i="1"/>
  <c r="D28" i="1"/>
  <c r="F28" i="1" s="1"/>
  <c r="J28" i="1" s="1"/>
  <c r="C28" i="1"/>
  <c r="G28" i="1" s="1"/>
  <c r="J27" i="1"/>
  <c r="I27" i="1"/>
  <c r="H27" i="1"/>
  <c r="G27" i="1"/>
  <c r="F27" i="1"/>
  <c r="E27" i="1"/>
  <c r="D27" i="1"/>
  <c r="C27" i="1"/>
  <c r="J26" i="1"/>
  <c r="H26" i="1"/>
  <c r="E26" i="1"/>
  <c r="I26" i="1" s="1"/>
  <c r="D26" i="1"/>
  <c r="F26" i="1" s="1"/>
  <c r="C26" i="1"/>
  <c r="G26" i="1" s="1"/>
  <c r="H25" i="1"/>
  <c r="G25" i="1"/>
  <c r="F25" i="1"/>
  <c r="J25" i="1" s="1"/>
  <c r="E25" i="1"/>
  <c r="I25" i="1" s="1"/>
  <c r="D25" i="1"/>
  <c r="C25" i="1"/>
  <c r="H24" i="1"/>
  <c r="D24" i="1"/>
  <c r="F24" i="1" s="1"/>
  <c r="J24" i="1" s="1"/>
  <c r="C24" i="1"/>
  <c r="G24" i="1" s="1"/>
  <c r="H23" i="1"/>
  <c r="G23" i="1"/>
  <c r="F23" i="1"/>
  <c r="J23" i="1" s="1"/>
  <c r="E23" i="1"/>
  <c r="I23" i="1" s="1"/>
  <c r="D23" i="1"/>
  <c r="C23" i="1"/>
  <c r="D22" i="1"/>
  <c r="F22" i="1" s="1"/>
  <c r="J22" i="1" s="1"/>
  <c r="C22" i="1"/>
  <c r="G22" i="1" s="1"/>
  <c r="H21" i="1"/>
  <c r="G21" i="1"/>
  <c r="F21" i="1"/>
  <c r="J21" i="1" s="1"/>
  <c r="E21" i="1"/>
  <c r="I21" i="1" s="1"/>
  <c r="D21" i="1"/>
  <c r="C21" i="1"/>
  <c r="J20" i="1"/>
  <c r="D20" i="1"/>
  <c r="F20" i="1" s="1"/>
  <c r="C20" i="1"/>
  <c r="G20" i="1" s="1"/>
  <c r="J19" i="1"/>
  <c r="I19" i="1"/>
  <c r="H19" i="1"/>
  <c r="G19" i="1"/>
  <c r="F19" i="1"/>
  <c r="E19" i="1"/>
  <c r="D19" i="1"/>
  <c r="C19" i="1"/>
  <c r="J18" i="1"/>
  <c r="H18" i="1"/>
  <c r="E18" i="1"/>
  <c r="I18" i="1" s="1"/>
  <c r="D18" i="1"/>
  <c r="F18" i="1" s="1"/>
  <c r="C18" i="1"/>
  <c r="G18" i="1" s="1"/>
  <c r="H17" i="1"/>
  <c r="G17" i="1"/>
  <c r="F17" i="1"/>
  <c r="J17" i="1" s="1"/>
  <c r="E17" i="1"/>
  <c r="I17" i="1" s="1"/>
  <c r="D17" i="1"/>
  <c r="C17" i="1"/>
  <c r="D16" i="1"/>
  <c r="C16" i="1"/>
  <c r="G16" i="1" s="1"/>
  <c r="H15" i="1"/>
  <c r="G15" i="1"/>
  <c r="F15" i="1"/>
  <c r="J15" i="1" s="1"/>
  <c r="E15" i="1"/>
  <c r="I15" i="1" s="1"/>
  <c r="D15" i="1"/>
  <c r="C15" i="1"/>
  <c r="H14" i="1"/>
  <c r="D14" i="1"/>
  <c r="F14" i="1" s="1"/>
  <c r="J14" i="1" s="1"/>
  <c r="C14" i="1"/>
  <c r="J13" i="1"/>
  <c r="I13" i="1"/>
  <c r="H13" i="1"/>
  <c r="G13" i="1"/>
  <c r="F13" i="1"/>
  <c r="E13" i="1"/>
  <c r="D13" i="1"/>
  <c r="C13" i="1"/>
  <c r="D12" i="1"/>
  <c r="F12" i="1" s="1"/>
  <c r="J12" i="1" s="1"/>
  <c r="C12" i="1"/>
  <c r="G12" i="1" s="1"/>
  <c r="J11" i="1"/>
  <c r="I11" i="1"/>
  <c r="H11" i="1"/>
  <c r="G11" i="1"/>
  <c r="F11" i="1"/>
  <c r="E11" i="1"/>
  <c r="D11" i="1"/>
  <c r="C11" i="1"/>
  <c r="J10" i="1"/>
  <c r="H10" i="1"/>
  <c r="E10" i="1"/>
  <c r="I10" i="1" s="1"/>
  <c r="D10" i="1"/>
  <c r="F10" i="1" s="1"/>
  <c r="C10" i="1"/>
  <c r="G10" i="1" s="1"/>
  <c r="H9" i="1"/>
  <c r="G9" i="1"/>
  <c r="F9" i="1"/>
  <c r="J9" i="1" s="1"/>
  <c r="E9" i="1"/>
  <c r="I9" i="1" s="1"/>
  <c r="D9" i="1"/>
  <c r="C9" i="1"/>
  <c r="H8" i="1"/>
  <c r="D8" i="1"/>
  <c r="F8" i="1" s="1"/>
  <c r="C8" i="1"/>
  <c r="G8" i="1" s="1"/>
  <c r="E7" i="1"/>
  <c r="I7" i="1" s="1"/>
  <c r="C7" i="1"/>
  <c r="G7" i="1" s="1"/>
  <c r="G6" i="1"/>
  <c r="C6" i="1"/>
  <c r="E6" i="1" s="1"/>
  <c r="I6" i="1" s="1"/>
  <c r="I5" i="1"/>
  <c r="G5" i="1"/>
  <c r="E5" i="1"/>
  <c r="C5" i="1"/>
  <c r="T181" i="3"/>
  <c r="S181" i="3"/>
  <c r="S180" i="3"/>
  <c r="T180" i="3" s="1"/>
  <c r="S179" i="3"/>
  <c r="T179" i="3" s="1"/>
  <c r="S178" i="3"/>
  <c r="T178" i="3" s="1"/>
  <c r="T177" i="3"/>
  <c r="S177" i="3"/>
  <c r="S176" i="3"/>
  <c r="T176" i="3" s="1"/>
  <c r="S175" i="3"/>
  <c r="T175" i="3" s="1"/>
  <c r="T174" i="3"/>
  <c r="S174" i="3"/>
  <c r="S173" i="3"/>
  <c r="T173" i="3" s="1"/>
  <c r="T172" i="3"/>
  <c r="S172" i="3"/>
  <c r="S171" i="3"/>
  <c r="T171" i="3" s="1"/>
  <c r="T170" i="3"/>
  <c r="S170" i="3"/>
  <c r="T169" i="3"/>
  <c r="S169" i="3"/>
  <c r="S168" i="3"/>
  <c r="T168" i="3" s="1"/>
  <c r="S167" i="3"/>
  <c r="T167" i="3" s="1"/>
  <c r="S166" i="3"/>
  <c r="T166" i="3" s="1"/>
  <c r="T165" i="3"/>
  <c r="S165" i="3"/>
  <c r="S164" i="3"/>
  <c r="T164" i="3" s="1"/>
  <c r="S163" i="3"/>
  <c r="T163" i="3" s="1"/>
  <c r="S162" i="3"/>
  <c r="T162" i="3" s="1"/>
  <c r="T161" i="3"/>
  <c r="S161" i="3"/>
  <c r="S160" i="3"/>
  <c r="T160" i="3" s="1"/>
  <c r="S159" i="3"/>
  <c r="T159" i="3" s="1"/>
  <c r="S158" i="3"/>
  <c r="T158" i="3" s="1"/>
  <c r="S157" i="3"/>
  <c r="T157" i="3" s="1"/>
  <c r="T156" i="3"/>
  <c r="S156" i="3"/>
  <c r="S155" i="3"/>
  <c r="T155" i="3" s="1"/>
  <c r="T154" i="3"/>
  <c r="S154" i="3"/>
  <c r="T153" i="3"/>
  <c r="S153" i="3"/>
  <c r="S152" i="3"/>
  <c r="T152" i="3" s="1"/>
  <c r="S151" i="3"/>
  <c r="T151" i="3" s="1"/>
  <c r="S150" i="3"/>
  <c r="T150" i="3" s="1"/>
  <c r="S149" i="3"/>
  <c r="T149" i="3" s="1"/>
  <c r="S148" i="3"/>
  <c r="T148" i="3" s="1"/>
  <c r="S147" i="3"/>
  <c r="T147" i="3" s="1"/>
  <c r="S146" i="3"/>
  <c r="T146" i="3" s="1"/>
  <c r="T145" i="3"/>
  <c r="S145" i="3"/>
  <c r="S144" i="3"/>
  <c r="T144" i="3" s="1"/>
  <c r="S143" i="3"/>
  <c r="T143" i="3" s="1"/>
  <c r="S142" i="3"/>
  <c r="T142" i="3" s="1"/>
  <c r="S141" i="3"/>
  <c r="T141" i="3" s="1"/>
  <c r="S140" i="3"/>
  <c r="T140" i="3" s="1"/>
  <c r="S139" i="3"/>
  <c r="T139" i="3" s="1"/>
  <c r="S138" i="3"/>
  <c r="T138" i="3" s="1"/>
  <c r="T137" i="3"/>
  <c r="S137" i="3"/>
  <c r="S136" i="3"/>
  <c r="T136" i="3" s="1"/>
  <c r="T135" i="3"/>
  <c r="S135" i="3"/>
  <c r="S134" i="3"/>
  <c r="T134" i="3" s="1"/>
  <c r="S133" i="3"/>
  <c r="T133" i="3" s="1"/>
  <c r="T132" i="3"/>
  <c r="S132" i="3"/>
  <c r="S131" i="3"/>
  <c r="T131" i="3" s="1"/>
  <c r="T130" i="3"/>
  <c r="S130" i="3"/>
  <c r="T129" i="3"/>
  <c r="S129" i="3"/>
  <c r="S128" i="3"/>
  <c r="T128" i="3" s="1"/>
  <c r="S127" i="3"/>
  <c r="T127" i="3" s="1"/>
  <c r="T126" i="3"/>
  <c r="S126" i="3"/>
  <c r="S125" i="3"/>
  <c r="T125" i="3" s="1"/>
  <c r="S124" i="3"/>
  <c r="T124" i="3" s="1"/>
  <c r="S123" i="3"/>
  <c r="T123" i="3" s="1"/>
  <c r="T122" i="3"/>
  <c r="S122" i="3"/>
  <c r="T121" i="3"/>
  <c r="S121" i="3"/>
  <c r="S120" i="3"/>
  <c r="T120" i="3" s="1"/>
  <c r="T119" i="3"/>
  <c r="S119" i="3"/>
  <c r="S118" i="3"/>
  <c r="T118" i="3" s="1"/>
  <c r="T117" i="3"/>
  <c r="S117" i="3"/>
  <c r="S116" i="3"/>
  <c r="T116" i="3" s="1"/>
  <c r="S115" i="3"/>
  <c r="T115" i="3" s="1"/>
  <c r="S114" i="3"/>
  <c r="T114" i="3" s="1"/>
  <c r="T113" i="3"/>
  <c r="S113" i="3"/>
  <c r="S112" i="3"/>
  <c r="T112" i="3" s="1"/>
  <c r="S111" i="3"/>
  <c r="T111" i="3" s="1"/>
  <c r="T110" i="3"/>
  <c r="S110" i="3"/>
  <c r="S109" i="3"/>
  <c r="T109" i="3" s="1"/>
  <c r="T108" i="3"/>
  <c r="S108" i="3"/>
  <c r="S107" i="3"/>
  <c r="T107" i="3" s="1"/>
  <c r="T106" i="3"/>
  <c r="S106" i="3"/>
  <c r="T105" i="3"/>
  <c r="S105" i="3"/>
  <c r="S104" i="3"/>
  <c r="T104" i="3" s="1"/>
  <c r="S103" i="3"/>
  <c r="T103" i="3" s="1"/>
  <c r="S102" i="3"/>
  <c r="T102" i="3" s="1"/>
  <c r="T101" i="3"/>
  <c r="S101" i="3"/>
  <c r="S100" i="3"/>
  <c r="T100" i="3" s="1"/>
  <c r="S99" i="3"/>
  <c r="T99" i="3" s="1"/>
  <c r="S98" i="3"/>
  <c r="T98" i="3" s="1"/>
  <c r="T97" i="3"/>
  <c r="S97" i="3"/>
  <c r="S96" i="3"/>
  <c r="T96" i="3" s="1"/>
  <c r="S95" i="3"/>
  <c r="T95" i="3" s="1"/>
  <c r="S94" i="3"/>
  <c r="T94" i="3" s="1"/>
  <c r="S93" i="3"/>
  <c r="T93" i="3" s="1"/>
  <c r="T92" i="3"/>
  <c r="S92" i="3"/>
  <c r="S91" i="3"/>
  <c r="T91" i="3" s="1"/>
  <c r="T90" i="3"/>
  <c r="S90" i="3"/>
  <c r="T89" i="3"/>
  <c r="S89" i="3"/>
  <c r="S88" i="3"/>
  <c r="T88" i="3" s="1"/>
  <c r="S87" i="3"/>
  <c r="T87" i="3" s="1"/>
  <c r="S86" i="3"/>
  <c r="T86" i="3" s="1"/>
  <c r="S85" i="3"/>
  <c r="T85" i="3" s="1"/>
  <c r="S84" i="3"/>
  <c r="T84" i="3" s="1"/>
  <c r="S83" i="3"/>
  <c r="T83" i="3" s="1"/>
  <c r="T82" i="3"/>
  <c r="S82" i="3"/>
  <c r="T81" i="3"/>
  <c r="S81" i="3"/>
  <c r="S80" i="3"/>
  <c r="T80" i="3" s="1"/>
  <c r="S79" i="3"/>
  <c r="T79" i="3" s="1"/>
  <c r="S78" i="3"/>
  <c r="T78" i="3" s="1"/>
  <c r="S77" i="3"/>
  <c r="T77" i="3" s="1"/>
  <c r="S76" i="3"/>
  <c r="T76" i="3" s="1"/>
  <c r="S75" i="3"/>
  <c r="T75" i="3" s="1"/>
  <c r="S74" i="3"/>
  <c r="T74" i="3" s="1"/>
  <c r="T73" i="3"/>
  <c r="S73" i="3"/>
  <c r="S72" i="3"/>
  <c r="T72" i="3" s="1"/>
  <c r="T71" i="3"/>
  <c r="S71" i="3"/>
  <c r="S70" i="3"/>
  <c r="T70" i="3" s="1"/>
  <c r="S69" i="3"/>
  <c r="T69" i="3" s="1"/>
  <c r="S68" i="3"/>
  <c r="T68" i="3" s="1"/>
  <c r="S67" i="3"/>
  <c r="T67" i="3" s="1"/>
  <c r="T66" i="3"/>
  <c r="S66" i="3"/>
  <c r="S65" i="3"/>
  <c r="T65" i="3" s="1"/>
  <c r="S64" i="3"/>
  <c r="T64" i="3" s="1"/>
  <c r="S63" i="3"/>
  <c r="T63" i="3" s="1"/>
  <c r="T62" i="3"/>
  <c r="S62" i="3"/>
  <c r="S61" i="3"/>
  <c r="T61" i="3" s="1"/>
  <c r="S60" i="3"/>
  <c r="T60" i="3" s="1"/>
  <c r="S59" i="3"/>
  <c r="T59" i="3" s="1"/>
  <c r="T58" i="3"/>
  <c r="S58" i="3"/>
  <c r="T57" i="3"/>
  <c r="S57" i="3"/>
  <c r="S56" i="3"/>
  <c r="T56" i="3" s="1"/>
  <c r="T55" i="3"/>
  <c r="S55" i="3"/>
  <c r="S54" i="3"/>
  <c r="T54" i="3" s="1"/>
  <c r="T53" i="3"/>
  <c r="S53" i="3"/>
  <c r="S52" i="3"/>
  <c r="T52" i="3" s="1"/>
  <c r="S51" i="3"/>
  <c r="T51" i="3" s="1"/>
  <c r="T50" i="3"/>
  <c r="S50" i="3"/>
  <c r="T49" i="3"/>
  <c r="S49" i="3"/>
  <c r="S48" i="3"/>
  <c r="T48" i="3" s="1"/>
  <c r="S47" i="3"/>
  <c r="T47" i="3" s="1"/>
  <c r="S46" i="3"/>
  <c r="T46" i="3" s="1"/>
  <c r="S45" i="3"/>
  <c r="T45" i="3" s="1"/>
  <c r="T44" i="3"/>
  <c r="S44" i="3"/>
  <c r="S43" i="3"/>
  <c r="T43" i="3" s="1"/>
  <c r="S42" i="3"/>
  <c r="T42" i="3" s="1"/>
  <c r="S41" i="3"/>
  <c r="T41" i="3" s="1"/>
  <c r="S40" i="3"/>
  <c r="T40" i="3" s="1"/>
  <c r="S39" i="3"/>
  <c r="T39" i="3" s="1"/>
  <c r="S38" i="3"/>
  <c r="T38" i="3" s="1"/>
  <c r="S37" i="3"/>
  <c r="T37" i="3" s="1"/>
  <c r="S36" i="3"/>
  <c r="T36" i="3" s="1"/>
  <c r="S35" i="3"/>
  <c r="T35" i="3" s="1"/>
  <c r="S34" i="3"/>
  <c r="T34" i="3" s="1"/>
  <c r="S33" i="3"/>
  <c r="T33" i="3" s="1"/>
  <c r="S32" i="3"/>
  <c r="T32" i="3" s="1"/>
  <c r="S31" i="3"/>
  <c r="T31" i="3" s="1"/>
  <c r="S30" i="3"/>
  <c r="T30" i="3" s="1"/>
  <c r="S29" i="3"/>
  <c r="T29" i="3" s="1"/>
  <c r="S28" i="3"/>
  <c r="T28" i="3" s="1"/>
  <c r="S27" i="3"/>
  <c r="T27" i="3" s="1"/>
  <c r="T26" i="3"/>
  <c r="S26" i="3"/>
  <c r="S25" i="3"/>
  <c r="T25" i="3" s="1"/>
  <c r="S24" i="3"/>
  <c r="T24" i="3" s="1"/>
  <c r="S23" i="3"/>
  <c r="T23" i="3" s="1"/>
  <c r="S22" i="3"/>
  <c r="T22" i="3" s="1"/>
  <c r="S21" i="3"/>
  <c r="T21" i="3" s="1"/>
  <c r="S20" i="3"/>
  <c r="T20" i="3" s="1"/>
  <c r="S19" i="3"/>
  <c r="T19" i="3" s="1"/>
  <c r="T18" i="3"/>
  <c r="S18" i="3"/>
  <c r="T17" i="3"/>
  <c r="S17" i="3"/>
  <c r="S16" i="3"/>
  <c r="T16" i="3" s="1"/>
  <c r="S15" i="3"/>
  <c r="T15" i="3" s="1"/>
  <c r="S14" i="3"/>
  <c r="T14" i="3" s="1"/>
  <c r="S13" i="3"/>
  <c r="T13" i="3" s="1"/>
  <c r="S12" i="3"/>
  <c r="T12" i="3" s="1"/>
  <c r="S11" i="3"/>
  <c r="T11" i="3" s="1"/>
  <c r="S10" i="3"/>
  <c r="T10" i="3" s="1"/>
  <c r="T9" i="3"/>
  <c r="S9" i="3"/>
  <c r="S8" i="3"/>
  <c r="T8" i="3" s="1"/>
  <c r="T7" i="3"/>
  <c r="S7" i="3"/>
  <c r="S6" i="3"/>
  <c r="T6" i="3" s="1"/>
  <c r="S5" i="3"/>
  <c r="T5" i="3" s="1"/>
  <c r="S4" i="3"/>
  <c r="T4" i="3" s="1"/>
  <c r="T3" i="3"/>
  <c r="S3" i="3"/>
  <c r="S2" i="3"/>
  <c r="T2" i="3" s="1"/>
  <c r="C85" i="4" l="1"/>
  <c r="E85" i="4" s="1"/>
  <c r="AF4" i="3" a="1"/>
  <c r="AF4" i="3" s="1"/>
  <c r="F32" i="1"/>
  <c r="J32" i="1" s="1"/>
  <c r="H32" i="1"/>
  <c r="H88" i="1"/>
  <c r="F88" i="1"/>
  <c r="J88" i="1" s="1"/>
  <c r="F3" i="2"/>
  <c r="D4" i="2"/>
  <c r="H3" i="2"/>
  <c r="E16" i="1"/>
  <c r="I16" i="1" s="1"/>
  <c r="H78" i="1"/>
  <c r="F78" i="1"/>
  <c r="J78" i="1" s="1"/>
  <c r="I3" i="2"/>
  <c r="H165" i="1"/>
  <c r="F165" i="1"/>
  <c r="J165" i="1" s="1"/>
  <c r="E32" i="1"/>
  <c r="I32" i="1" s="1"/>
  <c r="G14" i="1"/>
  <c r="N2" i="1" s="1"/>
  <c r="E14" i="1"/>
  <c r="I14" i="1" s="1"/>
  <c r="H46" i="1"/>
  <c r="F46" i="1"/>
  <c r="J46" i="1" s="1"/>
  <c r="H177" i="1"/>
  <c r="F177" i="1"/>
  <c r="J177" i="1" s="1"/>
  <c r="G76" i="1"/>
  <c r="E76" i="1"/>
  <c r="I76" i="1" s="1"/>
  <c r="AF3" i="3" a="1"/>
  <c r="AF3" i="3" s="1"/>
  <c r="AE3" i="3" a="1"/>
  <c r="AE3" i="3" s="1"/>
  <c r="AD3" i="3"/>
  <c r="G30" i="1"/>
  <c r="E30" i="1"/>
  <c r="I30" i="1" s="1"/>
  <c r="H56" i="1"/>
  <c r="F56" i="1"/>
  <c r="J56" i="1" s="1"/>
  <c r="G66" i="1"/>
  <c r="E66" i="1"/>
  <c r="I66" i="1" s="1"/>
  <c r="E56" i="1"/>
  <c r="I56" i="1" s="1"/>
  <c r="H66" i="1"/>
  <c r="F66" i="1"/>
  <c r="J66" i="1" s="1"/>
  <c r="H96" i="1"/>
  <c r="F96" i="1"/>
  <c r="J96" i="1" s="1"/>
  <c r="G116" i="1"/>
  <c r="E116" i="1"/>
  <c r="I116" i="1" s="1"/>
  <c r="F16" i="1"/>
  <c r="J16" i="1" s="1"/>
  <c r="H16" i="1"/>
  <c r="H129" i="1"/>
  <c r="F129" i="1"/>
  <c r="J129" i="1" s="1"/>
  <c r="AE4" i="3" a="1"/>
  <c r="AE4" i="3" s="1"/>
  <c r="AD4" i="3"/>
  <c r="G110" i="1"/>
  <c r="E110" i="1"/>
  <c r="I110" i="1" s="1"/>
  <c r="G44" i="1"/>
  <c r="E44" i="1"/>
  <c r="I44" i="1" s="1"/>
  <c r="H123" i="1"/>
  <c r="F123" i="1"/>
  <c r="J123" i="1" s="1"/>
  <c r="G143" i="1"/>
  <c r="E143" i="1"/>
  <c r="I143" i="1" s="1"/>
  <c r="H104" i="1"/>
  <c r="F104" i="1"/>
  <c r="J104" i="1" s="1"/>
  <c r="G129" i="1"/>
  <c r="E129" i="1"/>
  <c r="I129" i="1" s="1"/>
  <c r="G3" i="2"/>
  <c r="C4" i="2"/>
  <c r="H44" i="1"/>
  <c r="F44" i="1"/>
  <c r="J44" i="1" s="1"/>
  <c r="H76" i="1"/>
  <c r="F76" i="1"/>
  <c r="J76" i="1" s="1"/>
  <c r="G121" i="1"/>
  <c r="E121" i="1"/>
  <c r="I121" i="1" s="1"/>
  <c r="H54" i="1"/>
  <c r="F54" i="1"/>
  <c r="J54" i="1" s="1"/>
  <c r="H86" i="1"/>
  <c r="F86" i="1"/>
  <c r="J86" i="1" s="1"/>
  <c r="H94" i="1"/>
  <c r="F94" i="1"/>
  <c r="J94" i="1" s="1"/>
  <c r="H102" i="1"/>
  <c r="F102" i="1"/>
  <c r="J102" i="1" s="1"/>
  <c r="F166" i="1"/>
  <c r="J166" i="1" s="1"/>
  <c r="H166" i="1"/>
  <c r="G170" i="1"/>
  <c r="E170" i="1"/>
  <c r="I170" i="1" s="1"/>
  <c r="H64" i="1"/>
  <c r="F64" i="1"/>
  <c r="J64" i="1" s="1"/>
  <c r="H149" i="1"/>
  <c r="F149" i="1"/>
  <c r="J149" i="1" s="1"/>
  <c r="E12" i="1"/>
  <c r="I12" i="1" s="1"/>
  <c r="E28" i="1"/>
  <c r="I28" i="1" s="1"/>
  <c r="H42" i="1"/>
  <c r="F42" i="1"/>
  <c r="J42" i="1" s="1"/>
  <c r="E64" i="1"/>
  <c r="I64" i="1" s="1"/>
  <c r="H74" i="1"/>
  <c r="F74" i="1"/>
  <c r="J74" i="1" s="1"/>
  <c r="F170" i="1"/>
  <c r="J170" i="1" s="1"/>
  <c r="F178" i="1"/>
  <c r="J178" i="1" s="1"/>
  <c r="H12" i="1"/>
  <c r="N3" i="1" s="1"/>
  <c r="H28" i="1"/>
  <c r="E42" i="1"/>
  <c r="I42" i="1" s="1"/>
  <c r="H52" i="1"/>
  <c r="F52" i="1"/>
  <c r="J52" i="1" s="1"/>
  <c r="E74" i="1"/>
  <c r="I74" i="1" s="1"/>
  <c r="H84" i="1"/>
  <c r="F84" i="1"/>
  <c r="J84" i="1" s="1"/>
  <c r="E127" i="1"/>
  <c r="I127" i="1" s="1"/>
  <c r="E155" i="1"/>
  <c r="I155" i="1" s="1"/>
  <c r="E181" i="1"/>
  <c r="I181" i="1" s="1"/>
  <c r="H62" i="1"/>
  <c r="F62" i="1"/>
  <c r="J62" i="1" s="1"/>
  <c r="H92" i="1"/>
  <c r="F92" i="1"/>
  <c r="J92" i="1" s="1"/>
  <c r="H100" i="1"/>
  <c r="F100" i="1"/>
  <c r="J100" i="1" s="1"/>
  <c r="H108" i="1"/>
  <c r="F108" i="1"/>
  <c r="J108" i="1" s="1"/>
  <c r="H40" i="1"/>
  <c r="F40" i="1"/>
  <c r="J40" i="1" s="1"/>
  <c r="H72" i="1"/>
  <c r="F72" i="1"/>
  <c r="J72" i="1" s="1"/>
  <c r="H171" i="1"/>
  <c r="F171" i="1"/>
  <c r="J171" i="1" s="1"/>
  <c r="E8" i="1"/>
  <c r="E24" i="1"/>
  <c r="I24" i="1" s="1"/>
  <c r="E40" i="1"/>
  <c r="I40" i="1" s="1"/>
  <c r="H50" i="1"/>
  <c r="F50" i="1"/>
  <c r="J50" i="1" s="1"/>
  <c r="E72" i="1"/>
  <c r="I72" i="1" s="1"/>
  <c r="H82" i="1"/>
  <c r="F82" i="1"/>
  <c r="J82" i="1" s="1"/>
  <c r="F137" i="1"/>
  <c r="J137" i="1" s="1"/>
  <c r="E167" i="1"/>
  <c r="I167" i="1" s="1"/>
  <c r="G172" i="1"/>
  <c r="E172" i="1"/>
  <c r="I172" i="1" s="1"/>
  <c r="H175" i="1"/>
  <c r="F175" i="1"/>
  <c r="J175" i="1" s="1"/>
  <c r="H125" i="1"/>
  <c r="F125" i="1"/>
  <c r="J125" i="1" s="1"/>
  <c r="H98" i="1"/>
  <c r="F98" i="1"/>
  <c r="J98" i="1" s="1"/>
  <c r="H106" i="1"/>
  <c r="F106" i="1"/>
  <c r="J106" i="1" s="1"/>
  <c r="H179" i="1"/>
  <c r="F179" i="1"/>
  <c r="J179" i="1" s="1"/>
  <c r="H60" i="1"/>
  <c r="F60" i="1"/>
  <c r="J60" i="1" s="1"/>
  <c r="E22" i="1"/>
  <c r="I22" i="1" s="1"/>
  <c r="E38" i="1"/>
  <c r="I38" i="1" s="1"/>
  <c r="H70" i="1"/>
  <c r="F70" i="1"/>
  <c r="J70" i="1" s="1"/>
  <c r="H90" i="1"/>
  <c r="F90" i="1"/>
  <c r="J90" i="1" s="1"/>
  <c r="J8" i="1"/>
  <c r="H22" i="1"/>
  <c r="H38" i="1"/>
  <c r="H48" i="1"/>
  <c r="F48" i="1"/>
  <c r="J48" i="1" s="1"/>
  <c r="E70" i="1"/>
  <c r="I70" i="1" s="1"/>
  <c r="H80" i="1"/>
  <c r="F80" i="1"/>
  <c r="J80" i="1" s="1"/>
  <c r="E90" i="1"/>
  <c r="I90" i="1" s="1"/>
  <c r="E98" i="1"/>
  <c r="I98" i="1" s="1"/>
  <c r="E106" i="1"/>
  <c r="I106" i="1" s="1"/>
  <c r="E120" i="1"/>
  <c r="I120" i="1" s="1"/>
  <c r="F135" i="1"/>
  <c r="J135" i="1" s="1"/>
  <c r="E20" i="1"/>
  <c r="I20" i="1" s="1"/>
  <c r="E36" i="1"/>
  <c r="I36" i="1" s="1"/>
  <c r="E48" i="1"/>
  <c r="I48" i="1" s="1"/>
  <c r="H58" i="1"/>
  <c r="F58" i="1"/>
  <c r="J58" i="1" s="1"/>
  <c r="E80" i="1"/>
  <c r="I80" i="1" s="1"/>
  <c r="G151" i="1"/>
  <c r="E151" i="1"/>
  <c r="I151" i="1" s="1"/>
  <c r="G159" i="1"/>
  <c r="E159" i="1"/>
  <c r="I159" i="1" s="1"/>
  <c r="H176" i="1"/>
  <c r="F176" i="1"/>
  <c r="J176" i="1" s="1"/>
  <c r="D78" i="4"/>
  <c r="C78" i="4"/>
  <c r="B77" i="4"/>
  <c r="B76" i="4"/>
  <c r="E78" i="4"/>
  <c r="B73" i="4"/>
  <c r="H20" i="1"/>
  <c r="H36" i="1"/>
  <c r="E58" i="1"/>
  <c r="I58" i="1" s="1"/>
  <c r="H68" i="1"/>
  <c r="F68" i="1"/>
  <c r="J68" i="1" s="1"/>
  <c r="G123" i="1"/>
  <c r="E123" i="1"/>
  <c r="I123" i="1" s="1"/>
  <c r="G169" i="1"/>
  <c r="E169" i="1"/>
  <c r="I169" i="1" s="1"/>
  <c r="G179" i="1"/>
  <c r="E179" i="1"/>
  <c r="I179" i="1" s="1"/>
  <c r="E149" i="1"/>
  <c r="I149" i="1" s="1"/>
  <c r="E165" i="1"/>
  <c r="I165" i="1" s="1"/>
  <c r="E171" i="1"/>
  <c r="I171" i="1" s="1"/>
  <c r="F168" i="1"/>
  <c r="J168" i="1" s="1"/>
  <c r="F145" i="1"/>
  <c r="J145" i="1" s="1"/>
  <c r="F161" i="1"/>
  <c r="J161" i="1" s="1"/>
  <c r="E168" i="1"/>
  <c r="I168" i="1" s="1"/>
  <c r="E177" i="1"/>
  <c r="I177" i="1" s="1"/>
  <c r="E175" i="1"/>
  <c r="I175" i="1" s="1"/>
  <c r="C77" i="4"/>
  <c r="C76" i="4"/>
  <c r="D77" i="4"/>
  <c r="D76" i="4"/>
  <c r="E77" i="4"/>
  <c r="E76" i="4"/>
  <c r="C83" i="4"/>
  <c r="E83" i="4" s="1"/>
  <c r="C84" i="4"/>
  <c r="E84" i="4" s="1"/>
  <c r="O3" i="1" l="1"/>
  <c r="C5" i="2"/>
  <c r="E4" i="2"/>
  <c r="G4" i="2"/>
  <c r="D5" i="2"/>
  <c r="F4" i="2"/>
  <c r="J4" i="2" s="1"/>
  <c r="H4" i="2"/>
  <c r="J3" i="2"/>
  <c r="I8" i="1"/>
  <c r="P2" i="1" s="1"/>
  <c r="O2" i="1"/>
  <c r="P3" i="1"/>
  <c r="B85" i="4"/>
  <c r="D85" i="4" s="1"/>
  <c r="B84" i="4"/>
  <c r="D84" i="4" s="1"/>
  <c r="B83" i="4"/>
  <c r="D83" i="4" s="1"/>
  <c r="F85" i="4"/>
  <c r="F84" i="4"/>
  <c r="F83" i="4"/>
  <c r="H5" i="2" l="1"/>
  <c r="D6" i="2"/>
  <c r="F5" i="2"/>
  <c r="J5" i="2" s="1"/>
  <c r="I4" i="2"/>
  <c r="G5" i="2"/>
  <c r="E5" i="2"/>
  <c r="I5" i="2" s="1"/>
  <c r="C6" i="2"/>
  <c r="C7" i="2" l="1"/>
  <c r="G6" i="2"/>
  <c r="E6" i="2"/>
  <c r="I6" i="2" s="1"/>
  <c r="D7" i="2"/>
  <c r="H6" i="2"/>
  <c r="F6" i="2"/>
  <c r="J6" i="2" s="1"/>
  <c r="H7" i="2" l="1"/>
  <c r="D8" i="2"/>
  <c r="F7" i="2"/>
  <c r="G7" i="2"/>
  <c r="E7" i="2"/>
  <c r="C8" i="2"/>
  <c r="C9" i="2" l="1"/>
  <c r="G8" i="2"/>
  <c r="E8" i="2"/>
  <c r="I8" i="2" s="1"/>
  <c r="I7" i="2"/>
  <c r="J7" i="2"/>
  <c r="D9" i="2"/>
  <c r="F8" i="2"/>
  <c r="J8" i="2" s="1"/>
  <c r="H8" i="2"/>
  <c r="H9" i="2" l="1"/>
  <c r="F9" i="2"/>
  <c r="J9" i="2" s="1"/>
  <c r="D10" i="2"/>
  <c r="G9" i="2"/>
  <c r="E9" i="2"/>
  <c r="C10" i="2"/>
  <c r="C11" i="2" l="1"/>
  <c r="G10" i="2"/>
  <c r="E10" i="2"/>
  <c r="I10" i="2" s="1"/>
  <c r="I9" i="2"/>
  <c r="D11" i="2"/>
  <c r="H10" i="2"/>
  <c r="F10" i="2"/>
  <c r="J10" i="2" s="1"/>
  <c r="H11" i="2" l="1"/>
  <c r="D12" i="2"/>
  <c r="F11" i="2"/>
  <c r="J11" i="2" s="1"/>
  <c r="G11" i="2"/>
  <c r="C12" i="2"/>
  <c r="E11" i="2"/>
  <c r="I11" i="2" s="1"/>
  <c r="C13" i="2" l="1"/>
  <c r="E12" i="2"/>
  <c r="I12" i="2" s="1"/>
  <c r="G12" i="2"/>
  <c r="D13" i="2"/>
  <c r="F12" i="2"/>
  <c r="J12" i="2" s="1"/>
  <c r="H12" i="2"/>
  <c r="H13" i="2" l="1"/>
  <c r="D14" i="2"/>
  <c r="F13" i="2"/>
  <c r="J13" i="2" s="1"/>
  <c r="G13" i="2"/>
  <c r="E13" i="2"/>
  <c r="I13" i="2" s="1"/>
  <c r="C14" i="2"/>
  <c r="C15" i="2" l="1"/>
  <c r="G14" i="2"/>
  <c r="E14" i="2"/>
  <c r="I14" i="2" s="1"/>
  <c r="D15" i="2"/>
  <c r="H14" i="2"/>
  <c r="F14" i="2"/>
  <c r="J14" i="2" s="1"/>
  <c r="H15" i="2" l="1"/>
  <c r="F15" i="2"/>
  <c r="J15" i="2" s="1"/>
  <c r="D16" i="2"/>
  <c r="G15" i="2"/>
  <c r="E15" i="2"/>
  <c r="I15" i="2" s="1"/>
  <c r="C16" i="2"/>
  <c r="G16" i="2" l="1"/>
  <c r="E16" i="2"/>
  <c r="I16" i="2" s="1"/>
  <c r="C17" i="2"/>
  <c r="H16" i="2"/>
  <c r="D17" i="2"/>
  <c r="F16" i="2"/>
  <c r="J16" i="2" s="1"/>
  <c r="F17" i="2" l="1"/>
  <c r="J17" i="2" s="1"/>
  <c r="D18" i="2"/>
  <c r="H17" i="2"/>
  <c r="E17" i="2"/>
  <c r="I17" i="2" s="1"/>
  <c r="C18" i="2"/>
  <c r="G17" i="2"/>
  <c r="G18" i="2" l="1"/>
  <c r="C19" i="2"/>
  <c r="E18" i="2"/>
  <c r="I18" i="2" s="1"/>
  <c r="H18" i="2"/>
  <c r="F18" i="2"/>
  <c r="J18" i="2" s="1"/>
  <c r="D19" i="2"/>
  <c r="D20" i="2" l="1"/>
  <c r="H19" i="2"/>
  <c r="F19" i="2"/>
  <c r="J19" i="2" s="1"/>
  <c r="C20" i="2"/>
  <c r="G19" i="2"/>
  <c r="E19" i="2"/>
  <c r="I19" i="2" s="1"/>
  <c r="C21" i="2" l="1"/>
  <c r="G20" i="2"/>
  <c r="E20" i="2"/>
  <c r="I20" i="2" s="1"/>
  <c r="H20" i="2"/>
  <c r="D21" i="2"/>
  <c r="F20" i="2"/>
  <c r="J20" i="2" s="1"/>
  <c r="H21" i="2" l="1"/>
  <c r="F21" i="2"/>
  <c r="J21" i="2" s="1"/>
  <c r="D22" i="2"/>
  <c r="C22" i="2"/>
  <c r="G21" i="2"/>
  <c r="E21" i="2"/>
  <c r="I21" i="2" s="1"/>
  <c r="H22" i="2" l="1"/>
  <c r="F22" i="2"/>
  <c r="J22" i="2" s="1"/>
  <c r="D23" i="2"/>
  <c r="E22" i="2"/>
  <c r="I22" i="2" s="1"/>
  <c r="C23" i="2"/>
  <c r="G22" i="2"/>
  <c r="C24" i="2" l="1"/>
  <c r="G23" i="2"/>
  <c r="E23" i="2"/>
  <c r="I23" i="2" s="1"/>
  <c r="D24" i="2"/>
  <c r="H23" i="2"/>
  <c r="F23" i="2"/>
  <c r="J23" i="2" s="1"/>
  <c r="H24" i="2" l="1"/>
  <c r="D25" i="2"/>
  <c r="F24" i="2"/>
  <c r="J24" i="2" s="1"/>
  <c r="G24" i="2"/>
  <c r="C25" i="2"/>
  <c r="E24" i="2"/>
  <c r="I24" i="2" s="1"/>
  <c r="D26" i="2" l="1"/>
  <c r="F25" i="2"/>
  <c r="J25" i="2" s="1"/>
  <c r="H25" i="2"/>
  <c r="E25" i="2"/>
  <c r="I25" i="2" s="1"/>
  <c r="G25" i="2"/>
  <c r="C26" i="2"/>
  <c r="C27" i="2" l="1"/>
  <c r="E26" i="2"/>
  <c r="I26" i="2" s="1"/>
  <c r="G26" i="2"/>
  <c r="H26" i="2"/>
  <c r="D27" i="2"/>
  <c r="F26" i="2"/>
  <c r="J26" i="2" s="1"/>
  <c r="D28" i="2" l="1"/>
  <c r="H27" i="2"/>
  <c r="F27" i="2"/>
  <c r="J27" i="2" s="1"/>
  <c r="C28" i="2"/>
  <c r="E27" i="2"/>
  <c r="I27" i="2" s="1"/>
  <c r="G27" i="2"/>
  <c r="G28" i="2" l="1"/>
  <c r="E28" i="2"/>
  <c r="I28" i="2" s="1"/>
  <c r="C29" i="2"/>
  <c r="H28" i="2"/>
  <c r="F28" i="2"/>
  <c r="J28" i="2" s="1"/>
  <c r="D29" i="2"/>
  <c r="F29" i="2" l="1"/>
  <c r="J29" i="2" s="1"/>
  <c r="D30" i="2"/>
  <c r="H29" i="2"/>
  <c r="E29" i="2"/>
  <c r="I29" i="2" s="1"/>
  <c r="C30" i="2"/>
  <c r="G29" i="2"/>
  <c r="C31" i="2" l="1"/>
  <c r="G30" i="2"/>
  <c r="E30" i="2"/>
  <c r="I30" i="2" s="1"/>
  <c r="H30" i="2"/>
  <c r="D31" i="2"/>
  <c r="F30" i="2"/>
  <c r="J30" i="2" s="1"/>
  <c r="H31" i="2" l="1"/>
  <c r="F31" i="2"/>
  <c r="J31" i="2" s="1"/>
  <c r="D32" i="2"/>
  <c r="G31" i="2"/>
  <c r="C32" i="2"/>
  <c r="E31" i="2"/>
  <c r="I31" i="2" s="1"/>
  <c r="H32" i="2" l="1"/>
  <c r="D33" i="2"/>
  <c r="F32" i="2"/>
  <c r="J32" i="2" s="1"/>
  <c r="C33" i="2"/>
  <c r="G32" i="2"/>
  <c r="E32" i="2"/>
  <c r="I32" i="2" s="1"/>
  <c r="F33" i="2" l="1"/>
  <c r="J33" i="2" s="1"/>
  <c r="H33" i="2"/>
  <c r="D34" i="2"/>
  <c r="E33" i="2"/>
  <c r="I33" i="2" s="1"/>
  <c r="C34" i="2"/>
  <c r="G33" i="2"/>
  <c r="C35" i="2" l="1"/>
  <c r="G34" i="2"/>
  <c r="E34" i="2"/>
  <c r="I34" i="2" s="1"/>
  <c r="H34" i="2"/>
  <c r="D35" i="2"/>
  <c r="F34" i="2"/>
  <c r="J34" i="2" s="1"/>
  <c r="D36" i="2" l="1"/>
  <c r="H35" i="2"/>
  <c r="F35" i="2"/>
  <c r="J35" i="2" s="1"/>
  <c r="C36" i="2"/>
  <c r="G35" i="2"/>
  <c r="E35" i="2"/>
  <c r="I35" i="2" s="1"/>
  <c r="C37" i="2" l="1"/>
  <c r="E36" i="2"/>
  <c r="I36" i="2" s="1"/>
  <c r="G36" i="2"/>
  <c r="H36" i="2"/>
  <c r="F36" i="2"/>
  <c r="J36" i="2" s="1"/>
  <c r="D37" i="2"/>
  <c r="H37" i="2" l="1"/>
  <c r="F37" i="2"/>
  <c r="J37" i="2" s="1"/>
  <c r="D38" i="2"/>
  <c r="C38" i="2"/>
  <c r="G37" i="2"/>
  <c r="E37" i="2"/>
  <c r="I37" i="2" s="1"/>
  <c r="E38" i="2" l="1"/>
  <c r="I38" i="2" s="1"/>
  <c r="G38" i="2"/>
  <c r="C39" i="2"/>
  <c r="H38" i="2"/>
  <c r="F38" i="2"/>
  <c r="J38" i="2" s="1"/>
  <c r="D39" i="2"/>
  <c r="D40" i="2" l="1"/>
  <c r="F39" i="2"/>
  <c r="J39" i="2" s="1"/>
  <c r="H39" i="2"/>
  <c r="C40" i="2"/>
  <c r="E39" i="2"/>
  <c r="I39" i="2" s="1"/>
  <c r="G39" i="2"/>
  <c r="G40" i="2" l="1"/>
  <c r="E40" i="2"/>
  <c r="I40" i="2" s="1"/>
  <c r="C41" i="2"/>
  <c r="H40" i="2"/>
  <c r="D41" i="2"/>
  <c r="F40" i="2"/>
  <c r="J40" i="2" s="1"/>
  <c r="D42" i="2" l="1"/>
  <c r="H41" i="2"/>
  <c r="F41" i="2"/>
  <c r="J41" i="2" s="1"/>
  <c r="C42" i="2"/>
  <c r="G41" i="2"/>
  <c r="E41" i="2"/>
  <c r="I41" i="2" s="1"/>
  <c r="C43" i="2" l="1"/>
  <c r="E42" i="2"/>
  <c r="I42" i="2" s="1"/>
  <c r="G42" i="2"/>
  <c r="H42" i="2"/>
  <c r="D43" i="2"/>
  <c r="F42" i="2"/>
  <c r="J42" i="2" s="1"/>
  <c r="H43" i="2" l="1"/>
  <c r="D44" i="2"/>
  <c r="F43" i="2"/>
  <c r="J43" i="2" s="1"/>
  <c r="C44" i="2"/>
  <c r="G43" i="2"/>
  <c r="E43" i="2"/>
  <c r="I43" i="2" s="1"/>
  <c r="H44" i="2" l="1"/>
  <c r="F44" i="2"/>
  <c r="J44" i="2" s="1"/>
  <c r="D45" i="2"/>
  <c r="G44" i="2"/>
  <c r="E44" i="2"/>
  <c r="I44" i="2" s="1"/>
  <c r="C45" i="2"/>
  <c r="E45" i="2" l="1"/>
  <c r="I45" i="2" s="1"/>
  <c r="G45" i="2"/>
  <c r="C46" i="2"/>
  <c r="F45" i="2"/>
  <c r="J45" i="2" s="1"/>
  <c r="H45" i="2"/>
  <c r="D46" i="2"/>
  <c r="H46" i="2" l="1"/>
  <c r="D47" i="2"/>
  <c r="F46" i="2"/>
  <c r="J46" i="2" s="1"/>
  <c r="C47" i="2"/>
  <c r="G46" i="2"/>
  <c r="E46" i="2"/>
  <c r="I46" i="2" s="1"/>
  <c r="G47" i="2" l="1"/>
  <c r="C48" i="2"/>
  <c r="E47" i="2"/>
  <c r="I47" i="2" s="1"/>
  <c r="H47" i="2"/>
  <c r="D48" i="2"/>
  <c r="F47" i="2"/>
  <c r="J47" i="2" s="1"/>
  <c r="H48" i="2" l="1"/>
  <c r="D49" i="2"/>
  <c r="F48" i="2"/>
  <c r="J48" i="2" s="1"/>
  <c r="E48" i="2"/>
  <c r="I48" i="2" s="1"/>
  <c r="C49" i="2"/>
  <c r="G48" i="2"/>
  <c r="E49" i="2" l="1"/>
  <c r="I49" i="2" s="1"/>
  <c r="G49" i="2"/>
  <c r="C50" i="2"/>
  <c r="F49" i="2"/>
  <c r="J49" i="2" s="1"/>
  <c r="H49" i="2"/>
  <c r="D50" i="2"/>
  <c r="H50" i="2" l="1"/>
  <c r="D51" i="2"/>
  <c r="F50" i="2"/>
  <c r="J50" i="2" s="1"/>
  <c r="C51" i="2"/>
  <c r="G50" i="2"/>
  <c r="E50" i="2"/>
  <c r="I50" i="2" s="1"/>
  <c r="D52" i="2" l="1"/>
  <c r="H51" i="2"/>
  <c r="F51" i="2"/>
  <c r="J51" i="2" s="1"/>
  <c r="C52" i="2"/>
  <c r="G51" i="2"/>
  <c r="E51" i="2"/>
  <c r="I51" i="2" s="1"/>
  <c r="G52" i="2" l="1"/>
  <c r="E52" i="2"/>
  <c r="I52" i="2" s="1"/>
  <c r="C53" i="2"/>
  <c r="H52" i="2"/>
  <c r="D53" i="2"/>
  <c r="F52" i="2"/>
  <c r="J52" i="2" s="1"/>
  <c r="H53" i="2" l="1"/>
  <c r="D54" i="2"/>
  <c r="F53" i="2"/>
  <c r="J53" i="2" s="1"/>
  <c r="G53" i="2"/>
  <c r="C54" i="2"/>
  <c r="E53" i="2"/>
  <c r="I53" i="2" s="1"/>
  <c r="G54" i="2" l="1"/>
  <c r="E54" i="2"/>
  <c r="I54" i="2" s="1"/>
  <c r="C55" i="2"/>
  <c r="H54" i="2"/>
  <c r="F54" i="2"/>
  <c r="J54" i="2" s="1"/>
  <c r="D55" i="2"/>
  <c r="D56" i="2" l="1"/>
  <c r="F55" i="2"/>
  <c r="J55" i="2" s="1"/>
  <c r="H55" i="2"/>
  <c r="C56" i="2"/>
  <c r="E55" i="2"/>
  <c r="I55" i="2" s="1"/>
  <c r="G55" i="2"/>
  <c r="G56" i="2" l="1"/>
  <c r="C57" i="2"/>
  <c r="E56" i="2"/>
  <c r="I56" i="2" s="1"/>
  <c r="H56" i="2"/>
  <c r="D57" i="2"/>
  <c r="F56" i="2"/>
  <c r="J56" i="2" s="1"/>
  <c r="C58" i="2" l="1"/>
  <c r="E57" i="2"/>
  <c r="I57" i="2" s="1"/>
  <c r="G57" i="2"/>
  <c r="F57" i="2"/>
  <c r="J57" i="2" s="1"/>
  <c r="D58" i="2"/>
  <c r="H57" i="2"/>
  <c r="H58" i="2" l="1"/>
  <c r="F58" i="2"/>
  <c r="J58" i="2" s="1"/>
  <c r="D59" i="2"/>
  <c r="G58" i="2"/>
  <c r="C59" i="2"/>
  <c r="E58" i="2"/>
  <c r="I58" i="2" s="1"/>
  <c r="G59" i="2" l="1"/>
  <c r="E59" i="2"/>
  <c r="I59" i="2" s="1"/>
  <c r="C60" i="2"/>
  <c r="F59" i="2"/>
  <c r="J59" i="2" s="1"/>
  <c r="D60" i="2"/>
  <c r="H59" i="2"/>
  <c r="H60" i="2" l="1"/>
  <c r="D61" i="2"/>
  <c r="F60" i="2"/>
  <c r="J60" i="2" s="1"/>
  <c r="G60" i="2"/>
  <c r="E60" i="2"/>
  <c r="I60" i="2" s="1"/>
  <c r="C61" i="2"/>
  <c r="E61" i="2" l="1"/>
  <c r="I61" i="2" s="1"/>
  <c r="C62" i="2"/>
  <c r="G61" i="2"/>
  <c r="F61" i="2"/>
  <c r="J61" i="2" s="1"/>
  <c r="D62" i="2"/>
  <c r="H61" i="2"/>
  <c r="H62" i="2" l="1"/>
  <c r="F62" i="2"/>
  <c r="J62" i="2" s="1"/>
  <c r="D63" i="2"/>
  <c r="G62" i="2"/>
  <c r="E62" i="2"/>
  <c r="I62" i="2" s="1"/>
  <c r="C63" i="2"/>
  <c r="G63" i="2" l="1"/>
  <c r="E63" i="2"/>
  <c r="I63" i="2" s="1"/>
  <c r="C64" i="2"/>
  <c r="D64" i="2"/>
  <c r="H63" i="2"/>
  <c r="F63" i="2"/>
  <c r="J63" i="2" s="1"/>
  <c r="H64" i="2" l="1"/>
  <c r="D65" i="2"/>
  <c r="F64" i="2"/>
  <c r="J64" i="2" s="1"/>
  <c r="G64" i="2"/>
  <c r="E64" i="2"/>
  <c r="I64" i="2" s="1"/>
  <c r="C65" i="2"/>
  <c r="C66" i="2" l="1"/>
  <c r="G65" i="2"/>
  <c r="E65" i="2"/>
  <c r="I65" i="2" s="1"/>
  <c r="D66" i="2"/>
  <c r="H65" i="2"/>
  <c r="F65" i="2"/>
  <c r="J65" i="2" s="1"/>
  <c r="H66" i="2" l="1"/>
  <c r="D67" i="2"/>
  <c r="F66" i="2"/>
  <c r="J66" i="2" s="1"/>
  <c r="G66" i="2"/>
  <c r="C67" i="2"/>
  <c r="E66" i="2"/>
  <c r="I66" i="2" s="1"/>
  <c r="E67" i="2" l="1"/>
  <c r="I67" i="2" s="1"/>
  <c r="G67" i="2"/>
  <c r="C68" i="2"/>
  <c r="D68" i="2"/>
  <c r="F67" i="2"/>
  <c r="J67" i="2" s="1"/>
  <c r="H67" i="2"/>
  <c r="H68" i="2" l="1"/>
  <c r="F68" i="2"/>
  <c r="J68" i="2" s="1"/>
  <c r="D69" i="2"/>
  <c r="G68" i="2"/>
  <c r="E68" i="2"/>
  <c r="I68" i="2" s="1"/>
  <c r="C69" i="2"/>
  <c r="E69" i="2" l="1"/>
  <c r="I69" i="2" s="1"/>
  <c r="C70" i="2"/>
  <c r="G69" i="2"/>
  <c r="F69" i="2"/>
  <c r="J69" i="2" s="1"/>
  <c r="H69" i="2"/>
  <c r="D70" i="2"/>
  <c r="H70" i="2" l="1"/>
  <c r="D71" i="2"/>
  <c r="F70" i="2"/>
  <c r="J70" i="2" s="1"/>
  <c r="G70" i="2"/>
  <c r="C71" i="2"/>
  <c r="E70" i="2"/>
  <c r="I70" i="2" s="1"/>
  <c r="E71" i="2" l="1"/>
  <c r="I71" i="2" s="1"/>
  <c r="G71" i="2"/>
  <c r="C72" i="2"/>
  <c r="H71" i="2"/>
  <c r="D72" i="2"/>
  <c r="F71" i="2"/>
  <c r="J71" i="2" s="1"/>
  <c r="H72" i="2" l="1"/>
  <c r="D73" i="2"/>
  <c r="F72" i="2"/>
  <c r="J72" i="2" s="1"/>
  <c r="G72" i="2"/>
  <c r="C73" i="2"/>
  <c r="E72" i="2"/>
  <c r="I72" i="2" s="1"/>
  <c r="C74" i="2" l="1"/>
  <c r="G73" i="2"/>
  <c r="E73" i="2"/>
  <c r="I73" i="2" s="1"/>
  <c r="D74" i="2"/>
  <c r="H73" i="2"/>
  <c r="F73" i="2"/>
  <c r="J73" i="2" s="1"/>
  <c r="H74" i="2" l="1"/>
  <c r="D75" i="2"/>
  <c r="F74" i="2"/>
  <c r="J74" i="2" s="1"/>
  <c r="G74" i="2"/>
  <c r="C75" i="2"/>
  <c r="E74" i="2"/>
  <c r="I74" i="2" s="1"/>
  <c r="C76" i="2" l="1"/>
  <c r="G75" i="2"/>
  <c r="E75" i="2"/>
  <c r="I75" i="2" s="1"/>
  <c r="D76" i="2"/>
  <c r="H75" i="2"/>
  <c r="F75" i="2"/>
  <c r="J75" i="2" s="1"/>
  <c r="H76" i="2" l="1"/>
  <c r="F76" i="2"/>
  <c r="J76" i="2" s="1"/>
  <c r="D77" i="2"/>
  <c r="G76" i="2"/>
  <c r="C77" i="2"/>
  <c r="E76" i="2"/>
  <c r="I76" i="2" s="1"/>
  <c r="G77" i="2" l="1"/>
  <c r="E77" i="2"/>
  <c r="I77" i="2" s="1"/>
  <c r="C78" i="2"/>
  <c r="D78" i="2"/>
  <c r="H77" i="2"/>
  <c r="F77" i="2"/>
  <c r="J77" i="2" s="1"/>
  <c r="H78" i="2" l="1"/>
  <c r="D79" i="2"/>
  <c r="F78" i="2"/>
  <c r="J78" i="2" s="1"/>
  <c r="G78" i="2"/>
  <c r="E78" i="2"/>
  <c r="I78" i="2" s="1"/>
  <c r="C79" i="2"/>
  <c r="E79" i="2" l="1"/>
  <c r="I79" i="2" s="1"/>
  <c r="C80" i="2"/>
  <c r="G79" i="2"/>
  <c r="D80" i="2"/>
  <c r="H79" i="2"/>
  <c r="F79" i="2"/>
  <c r="J79" i="2" s="1"/>
  <c r="G80" i="2" l="1"/>
  <c r="C81" i="2"/>
  <c r="E80" i="2"/>
  <c r="I80" i="2" s="1"/>
  <c r="H80" i="2"/>
  <c r="D81" i="2"/>
  <c r="F80" i="2"/>
  <c r="J80" i="2" s="1"/>
  <c r="H81" i="2" l="1"/>
  <c r="F81" i="2"/>
  <c r="J81" i="2" s="1"/>
  <c r="D82" i="2"/>
  <c r="G81" i="2"/>
  <c r="E81" i="2"/>
  <c r="I81" i="2" s="1"/>
  <c r="C82" i="2"/>
  <c r="G82" i="2" l="1"/>
  <c r="E82" i="2"/>
  <c r="I82" i="2" s="1"/>
  <c r="C83" i="2"/>
  <c r="H82" i="2"/>
  <c r="D83" i="2"/>
  <c r="F82" i="2"/>
  <c r="J82" i="2" s="1"/>
  <c r="F83" i="2" l="1"/>
  <c r="J83" i="2" s="1"/>
  <c r="D84" i="2"/>
  <c r="H83" i="2"/>
  <c r="C84" i="2"/>
  <c r="G83" i="2"/>
  <c r="E83" i="2"/>
  <c r="I83" i="2" s="1"/>
  <c r="G84" i="2" l="1"/>
  <c r="C85" i="2"/>
  <c r="E84" i="2"/>
  <c r="I84" i="2" s="1"/>
  <c r="H84" i="2"/>
  <c r="D85" i="2"/>
  <c r="F84" i="2"/>
  <c r="J84" i="2" s="1"/>
  <c r="H85" i="2" l="1"/>
  <c r="F85" i="2"/>
  <c r="J85" i="2" s="1"/>
  <c r="D86" i="2"/>
  <c r="G85" i="2"/>
  <c r="C86" i="2"/>
  <c r="E85" i="2"/>
  <c r="I85" i="2" s="1"/>
  <c r="G86" i="2" l="1"/>
  <c r="E86" i="2"/>
  <c r="I86" i="2" s="1"/>
  <c r="C87" i="2"/>
  <c r="H86" i="2"/>
  <c r="F86" i="2"/>
  <c r="J86" i="2" s="1"/>
  <c r="D87" i="2"/>
  <c r="D88" i="2" l="1"/>
  <c r="F87" i="2"/>
  <c r="J87" i="2" s="1"/>
  <c r="H87" i="2"/>
  <c r="C88" i="2"/>
  <c r="G87" i="2"/>
  <c r="E87" i="2"/>
  <c r="I87" i="2" s="1"/>
  <c r="G88" i="2" l="1"/>
  <c r="C89" i="2"/>
  <c r="E88" i="2"/>
  <c r="I88" i="2" s="1"/>
  <c r="H88" i="2"/>
  <c r="D89" i="2"/>
  <c r="F88" i="2"/>
  <c r="J88" i="2" s="1"/>
  <c r="D90" i="2" l="1"/>
  <c r="H89" i="2"/>
  <c r="F89" i="2"/>
  <c r="J89" i="2" s="1"/>
  <c r="C90" i="2"/>
  <c r="G89" i="2"/>
  <c r="E89" i="2"/>
  <c r="I89" i="2" s="1"/>
  <c r="G90" i="2" l="1"/>
  <c r="C91" i="2"/>
  <c r="E90" i="2"/>
  <c r="I90" i="2" s="1"/>
  <c r="H90" i="2"/>
  <c r="F90" i="2"/>
  <c r="J90" i="2" s="1"/>
  <c r="D91" i="2"/>
  <c r="F91" i="2" l="1"/>
  <c r="J91" i="2" s="1"/>
  <c r="D92" i="2"/>
  <c r="H91" i="2"/>
  <c r="G91" i="2"/>
  <c r="E91" i="2"/>
  <c r="I91" i="2" s="1"/>
  <c r="C92" i="2"/>
  <c r="G92" i="2" l="1"/>
  <c r="C93" i="2"/>
  <c r="E92" i="2"/>
  <c r="I92" i="2" s="1"/>
  <c r="H92" i="2"/>
  <c r="D93" i="2"/>
  <c r="F92" i="2"/>
  <c r="J92" i="2" s="1"/>
  <c r="F93" i="2" l="1"/>
  <c r="J93" i="2" s="1"/>
  <c r="D94" i="2"/>
  <c r="H93" i="2"/>
  <c r="E93" i="2"/>
  <c r="I93" i="2" s="1"/>
  <c r="C94" i="2"/>
  <c r="G93" i="2"/>
  <c r="G94" i="2" l="1"/>
  <c r="C95" i="2"/>
  <c r="E94" i="2"/>
  <c r="I94" i="2" s="1"/>
  <c r="H94" i="2"/>
  <c r="F94" i="2"/>
  <c r="J94" i="2" s="1"/>
  <c r="D95" i="2"/>
  <c r="D96" i="2" l="1"/>
  <c r="H95" i="2"/>
  <c r="F95" i="2"/>
  <c r="J95" i="2" s="1"/>
  <c r="G95" i="2"/>
  <c r="E95" i="2"/>
  <c r="I95" i="2" s="1"/>
  <c r="C96" i="2"/>
  <c r="G96" i="2" l="1"/>
  <c r="E96" i="2"/>
  <c r="I96" i="2" s="1"/>
  <c r="C97" i="2"/>
  <c r="H96" i="2"/>
  <c r="D97" i="2"/>
  <c r="F96" i="2"/>
  <c r="J96" i="2" s="1"/>
  <c r="D98" i="2" l="1"/>
  <c r="H97" i="2"/>
  <c r="F97" i="2"/>
  <c r="J97" i="2" s="1"/>
  <c r="C98" i="2"/>
  <c r="G97" i="2"/>
  <c r="E97" i="2"/>
  <c r="I97" i="2" s="1"/>
  <c r="G98" i="2" l="1"/>
  <c r="C99" i="2"/>
  <c r="E98" i="2"/>
  <c r="I98" i="2" s="1"/>
  <c r="H98" i="2"/>
  <c r="D99" i="2"/>
  <c r="F98" i="2"/>
  <c r="J98" i="2" s="1"/>
  <c r="F99" i="2" l="1"/>
  <c r="J99" i="2" s="1"/>
  <c r="H99" i="2"/>
  <c r="D100" i="2"/>
  <c r="G99" i="2"/>
  <c r="E99" i="2"/>
  <c r="I99" i="2" s="1"/>
  <c r="C100" i="2"/>
  <c r="G100" i="2" l="1"/>
  <c r="E100" i="2"/>
  <c r="I100" i="2" s="1"/>
  <c r="C101" i="2"/>
  <c r="H100" i="2"/>
  <c r="F100" i="2"/>
  <c r="J100" i="2" s="1"/>
  <c r="D101" i="2"/>
  <c r="F101" i="2" l="1"/>
  <c r="J101" i="2" s="1"/>
  <c r="H101" i="2"/>
  <c r="D102" i="2"/>
  <c r="E101" i="2"/>
  <c r="I101" i="2" s="1"/>
  <c r="G101" i="2"/>
  <c r="C102" i="2"/>
  <c r="G102" i="2" l="1"/>
  <c r="C103" i="2"/>
  <c r="E102" i="2"/>
  <c r="I102" i="2" s="1"/>
  <c r="H102" i="2"/>
  <c r="D103" i="2"/>
  <c r="F102" i="2"/>
  <c r="J102" i="2" s="1"/>
  <c r="H103" i="2" l="1"/>
  <c r="F103" i="2"/>
  <c r="J103" i="2" s="1"/>
  <c r="D104" i="2"/>
  <c r="E103" i="2"/>
  <c r="I103" i="2" s="1"/>
  <c r="C104" i="2"/>
  <c r="G103" i="2"/>
  <c r="H104" i="2" l="1"/>
  <c r="D105" i="2"/>
  <c r="F104" i="2"/>
  <c r="J104" i="2" s="1"/>
  <c r="G104" i="2"/>
  <c r="E104" i="2"/>
  <c r="I104" i="2" s="1"/>
  <c r="C105" i="2"/>
  <c r="C106" i="2" l="1"/>
  <c r="G105" i="2"/>
  <c r="E105" i="2"/>
  <c r="I105" i="2" s="1"/>
  <c r="D106" i="2"/>
  <c r="H105" i="2"/>
  <c r="F105" i="2"/>
  <c r="J105" i="2" s="1"/>
  <c r="H106" i="2" l="1"/>
  <c r="F106" i="2"/>
  <c r="J106" i="2" s="1"/>
  <c r="D107" i="2"/>
  <c r="G106" i="2"/>
  <c r="C107" i="2"/>
  <c r="E106" i="2"/>
  <c r="I106" i="2" s="1"/>
  <c r="C108" i="2" l="1"/>
  <c r="G107" i="2"/>
  <c r="E107" i="2"/>
  <c r="I107" i="2" s="1"/>
  <c r="H107" i="2"/>
  <c r="D108" i="2"/>
  <c r="F107" i="2"/>
  <c r="J107" i="2" s="1"/>
  <c r="H108" i="2" l="1"/>
  <c r="F108" i="2"/>
  <c r="J108" i="2" s="1"/>
  <c r="D109" i="2"/>
  <c r="G108" i="2"/>
  <c r="E108" i="2"/>
  <c r="I108" i="2" s="1"/>
  <c r="C109" i="2"/>
  <c r="E109" i="2" l="1"/>
  <c r="I109" i="2" s="1"/>
  <c r="C110" i="2"/>
  <c r="G109" i="2"/>
  <c r="D110" i="2"/>
  <c r="H109" i="2"/>
  <c r="F109" i="2"/>
  <c r="J109" i="2" s="1"/>
  <c r="H110" i="2" l="1"/>
  <c r="D111" i="2"/>
  <c r="F110" i="2"/>
  <c r="J110" i="2" s="1"/>
  <c r="G110" i="2"/>
  <c r="E110" i="2"/>
  <c r="I110" i="2" s="1"/>
  <c r="C111" i="2"/>
  <c r="E111" i="2" l="1"/>
  <c r="I111" i="2" s="1"/>
  <c r="C112" i="2"/>
  <c r="G111" i="2"/>
  <c r="D112" i="2"/>
  <c r="H111" i="2"/>
  <c r="F111" i="2"/>
  <c r="J111" i="2" s="1"/>
  <c r="G112" i="2" l="1"/>
  <c r="C113" i="2"/>
  <c r="E112" i="2"/>
  <c r="I112" i="2" s="1"/>
  <c r="H112" i="2"/>
  <c r="D113" i="2"/>
  <c r="F112" i="2"/>
  <c r="J112" i="2" s="1"/>
  <c r="G113" i="2" l="1"/>
  <c r="E113" i="2"/>
  <c r="I113" i="2" s="1"/>
  <c r="C114" i="2"/>
  <c r="H113" i="2"/>
  <c r="D114" i="2"/>
  <c r="F113" i="2"/>
  <c r="J113" i="2" s="1"/>
  <c r="G114" i="2" l="1"/>
  <c r="C115" i="2"/>
  <c r="E114" i="2"/>
  <c r="I114" i="2" s="1"/>
  <c r="H114" i="2"/>
  <c r="D115" i="2"/>
  <c r="F114" i="2"/>
  <c r="J114" i="2" s="1"/>
  <c r="F115" i="2" l="1"/>
  <c r="J115" i="2" s="1"/>
  <c r="D116" i="2"/>
  <c r="H115" i="2"/>
  <c r="C116" i="2"/>
  <c r="G115" i="2"/>
  <c r="E115" i="2"/>
  <c r="I115" i="2" s="1"/>
  <c r="H116" i="2" l="1"/>
  <c r="D117" i="2"/>
  <c r="F116" i="2"/>
  <c r="J116" i="2" s="1"/>
  <c r="G116" i="2"/>
  <c r="E116" i="2"/>
  <c r="I116" i="2" s="1"/>
  <c r="C117" i="2"/>
  <c r="C118" i="2" l="1"/>
  <c r="G117" i="2"/>
  <c r="E117" i="2"/>
  <c r="I117" i="2" s="1"/>
  <c r="H117" i="2"/>
  <c r="D118" i="2"/>
  <c r="F117" i="2"/>
  <c r="J117" i="2" s="1"/>
  <c r="H118" i="2" l="1"/>
  <c r="F118" i="2"/>
  <c r="J118" i="2" s="1"/>
  <c r="D119" i="2"/>
  <c r="G118" i="2"/>
  <c r="E118" i="2"/>
  <c r="I118" i="2" s="1"/>
  <c r="C119" i="2"/>
  <c r="C120" i="2" l="1"/>
  <c r="G119" i="2"/>
  <c r="E119" i="2"/>
  <c r="I119" i="2" s="1"/>
  <c r="D120" i="2"/>
  <c r="H119" i="2"/>
  <c r="F119" i="2"/>
  <c r="J119" i="2" s="1"/>
  <c r="H120" i="2" l="1"/>
  <c r="D121" i="2"/>
  <c r="F120" i="2"/>
  <c r="J120" i="2" s="1"/>
  <c r="G120" i="2"/>
  <c r="C121" i="2"/>
  <c r="E120" i="2"/>
  <c r="I120" i="2" s="1"/>
  <c r="D122" i="2" l="1"/>
  <c r="H121" i="2"/>
  <c r="F121" i="2"/>
  <c r="J121" i="2" s="1"/>
  <c r="C122" i="2"/>
  <c r="E121" i="2"/>
  <c r="I121" i="2" s="1"/>
  <c r="G121" i="2"/>
  <c r="G122" i="2" l="1"/>
  <c r="C123" i="2"/>
  <c r="E122" i="2"/>
  <c r="I122" i="2" s="1"/>
  <c r="H122" i="2"/>
  <c r="F122" i="2"/>
  <c r="J122" i="2" s="1"/>
  <c r="D123" i="2"/>
  <c r="F123" i="2" l="1"/>
  <c r="J123" i="2" s="1"/>
  <c r="H123" i="2"/>
  <c r="D124" i="2"/>
  <c r="G123" i="2"/>
  <c r="E123" i="2"/>
  <c r="I123" i="2" s="1"/>
  <c r="C124" i="2"/>
  <c r="G124" i="2" l="1"/>
  <c r="C125" i="2"/>
  <c r="E124" i="2"/>
  <c r="I124" i="2" s="1"/>
  <c r="H124" i="2"/>
  <c r="D125" i="2"/>
  <c r="F124" i="2"/>
  <c r="J124" i="2" s="1"/>
  <c r="E125" i="2" l="1"/>
  <c r="I125" i="2" s="1"/>
  <c r="C126" i="2"/>
  <c r="G125" i="2"/>
  <c r="F125" i="2"/>
  <c r="J125" i="2" s="1"/>
  <c r="D126" i="2"/>
  <c r="H125" i="2"/>
  <c r="H126" i="2" l="1"/>
  <c r="F126" i="2"/>
  <c r="J126" i="2" s="1"/>
  <c r="D127" i="2"/>
  <c r="G126" i="2"/>
  <c r="C127" i="2"/>
  <c r="E126" i="2"/>
  <c r="I126" i="2" s="1"/>
  <c r="D128" i="2" l="1"/>
  <c r="H127" i="2"/>
  <c r="F127" i="2"/>
  <c r="J127" i="2" s="1"/>
  <c r="G127" i="2"/>
  <c r="C128" i="2"/>
  <c r="E127" i="2"/>
  <c r="I127" i="2" s="1"/>
  <c r="G128" i="2" l="1"/>
  <c r="E128" i="2"/>
  <c r="I128" i="2" s="1"/>
  <c r="C129" i="2"/>
  <c r="H128" i="2"/>
  <c r="D129" i="2"/>
  <c r="F128" i="2"/>
  <c r="J128" i="2" s="1"/>
  <c r="D130" i="2" l="1"/>
  <c r="H129" i="2"/>
  <c r="F129" i="2"/>
  <c r="J129" i="2" s="1"/>
  <c r="C130" i="2"/>
  <c r="G129" i="2"/>
  <c r="E129" i="2"/>
  <c r="I129" i="2" s="1"/>
  <c r="G130" i="2" l="1"/>
  <c r="C131" i="2"/>
  <c r="E130" i="2"/>
  <c r="I130" i="2" s="1"/>
  <c r="H130" i="2"/>
  <c r="F130" i="2"/>
  <c r="J130" i="2" s="1"/>
  <c r="D131" i="2"/>
  <c r="D132" i="2" l="1"/>
  <c r="H131" i="2"/>
  <c r="F131" i="2"/>
  <c r="J131" i="2" s="1"/>
  <c r="C132" i="2"/>
  <c r="G131" i="2"/>
  <c r="E131" i="2"/>
  <c r="I131" i="2" s="1"/>
  <c r="G132" i="2" l="1"/>
  <c r="E132" i="2"/>
  <c r="I132" i="2" s="1"/>
  <c r="C133" i="2"/>
  <c r="H132" i="2"/>
  <c r="F132" i="2"/>
  <c r="J132" i="2" s="1"/>
  <c r="D133" i="2"/>
  <c r="F133" i="2" l="1"/>
  <c r="J133" i="2" s="1"/>
  <c r="H133" i="2"/>
  <c r="D134" i="2"/>
  <c r="E133" i="2"/>
  <c r="I133" i="2" s="1"/>
  <c r="C134" i="2"/>
  <c r="G133" i="2"/>
  <c r="G134" i="2" l="1"/>
  <c r="C135" i="2"/>
  <c r="E134" i="2"/>
  <c r="I134" i="2" s="1"/>
  <c r="H134" i="2"/>
  <c r="D135" i="2"/>
  <c r="F134" i="2"/>
  <c r="J134" i="2" s="1"/>
  <c r="H135" i="2" l="1"/>
  <c r="F135" i="2"/>
  <c r="J135" i="2" s="1"/>
  <c r="D136" i="2"/>
  <c r="E135" i="2"/>
  <c r="I135" i="2" s="1"/>
  <c r="C136" i="2"/>
  <c r="G135" i="2"/>
  <c r="G136" i="2" l="1"/>
  <c r="C137" i="2"/>
  <c r="E136" i="2"/>
  <c r="I136" i="2" s="1"/>
  <c r="H136" i="2"/>
  <c r="F136" i="2"/>
  <c r="J136" i="2" s="1"/>
  <c r="D137" i="2"/>
  <c r="D138" i="2" l="1"/>
  <c r="H137" i="2"/>
  <c r="F137" i="2"/>
  <c r="J137" i="2" s="1"/>
  <c r="C138" i="2"/>
  <c r="G137" i="2"/>
  <c r="E137" i="2"/>
  <c r="I137" i="2" s="1"/>
  <c r="G138" i="2" l="1"/>
  <c r="C139" i="2"/>
  <c r="E138" i="2"/>
  <c r="I138" i="2" s="1"/>
  <c r="H138" i="2"/>
  <c r="D139" i="2"/>
  <c r="F138" i="2"/>
  <c r="J138" i="2" s="1"/>
  <c r="D140" i="2" l="1"/>
  <c r="H139" i="2"/>
  <c r="F139" i="2"/>
  <c r="J139" i="2" s="1"/>
  <c r="C140" i="2"/>
  <c r="G139" i="2"/>
  <c r="E139" i="2"/>
  <c r="I139" i="2" s="1"/>
  <c r="G140" i="2" l="1"/>
  <c r="C141" i="2"/>
  <c r="E140" i="2"/>
  <c r="I140" i="2" s="1"/>
  <c r="H140" i="2"/>
  <c r="F140" i="2"/>
  <c r="J140" i="2" s="1"/>
  <c r="D141" i="2"/>
  <c r="D142" i="2" l="1"/>
  <c r="F141" i="2"/>
  <c r="J141" i="2" s="1"/>
  <c r="H141" i="2"/>
  <c r="E141" i="2"/>
  <c r="I141" i="2" s="1"/>
  <c r="C142" i="2"/>
  <c r="G141" i="2"/>
  <c r="G142" i="2" l="1"/>
  <c r="E142" i="2"/>
  <c r="I142" i="2" s="1"/>
  <c r="C143" i="2"/>
  <c r="H142" i="2"/>
  <c r="D143" i="2"/>
  <c r="F142" i="2"/>
  <c r="J142" i="2" s="1"/>
  <c r="H143" i="2" l="1"/>
  <c r="D144" i="2"/>
  <c r="F143" i="2"/>
  <c r="J143" i="2" s="1"/>
  <c r="E143" i="2"/>
  <c r="I143" i="2" s="1"/>
  <c r="C144" i="2"/>
  <c r="G143" i="2"/>
  <c r="G144" i="2" l="1"/>
  <c r="C145" i="2"/>
  <c r="E144" i="2"/>
  <c r="I144" i="2" s="1"/>
  <c r="H144" i="2"/>
  <c r="D145" i="2"/>
  <c r="F144" i="2"/>
  <c r="J144" i="2" s="1"/>
  <c r="H145" i="2" l="1"/>
  <c r="D146" i="2"/>
  <c r="F145" i="2"/>
  <c r="J145" i="2" s="1"/>
  <c r="G145" i="2"/>
  <c r="E145" i="2"/>
  <c r="I145" i="2" s="1"/>
  <c r="C146" i="2"/>
  <c r="G146" i="2" l="1"/>
  <c r="C147" i="2"/>
  <c r="E146" i="2"/>
  <c r="I146" i="2" s="1"/>
  <c r="H146" i="2"/>
  <c r="D147" i="2"/>
  <c r="F146" i="2"/>
  <c r="J146" i="2" s="1"/>
  <c r="F147" i="2" l="1"/>
  <c r="J147" i="2" s="1"/>
  <c r="D148" i="2"/>
  <c r="H147" i="2"/>
  <c r="C148" i="2"/>
  <c r="G147" i="2"/>
  <c r="E147" i="2"/>
  <c r="I147" i="2" s="1"/>
  <c r="G148" i="2" l="1"/>
  <c r="E148" i="2"/>
  <c r="I148" i="2" s="1"/>
  <c r="C149" i="2"/>
  <c r="H148" i="2"/>
  <c r="F148" i="2"/>
  <c r="J148" i="2" s="1"/>
  <c r="D149" i="2"/>
  <c r="H149" i="2" l="1"/>
  <c r="D150" i="2"/>
  <c r="F149" i="2"/>
  <c r="J149" i="2" s="1"/>
  <c r="E149" i="2"/>
  <c r="I149" i="2" s="1"/>
  <c r="C150" i="2"/>
  <c r="G149" i="2"/>
  <c r="G150" i="2" l="1"/>
  <c r="E150" i="2"/>
  <c r="I150" i="2" s="1"/>
  <c r="C151" i="2"/>
  <c r="H150" i="2"/>
  <c r="F150" i="2"/>
  <c r="J150" i="2" s="1"/>
  <c r="D151" i="2"/>
  <c r="C152" i="2" l="1"/>
  <c r="G151" i="2"/>
  <c r="E151" i="2"/>
  <c r="I151" i="2" s="1"/>
  <c r="D152" i="2"/>
  <c r="H151" i="2"/>
  <c r="F151" i="2"/>
  <c r="J151" i="2" s="1"/>
  <c r="H152" i="2" l="1"/>
  <c r="D153" i="2"/>
  <c r="F152" i="2"/>
  <c r="J152" i="2" s="1"/>
  <c r="G152" i="2"/>
  <c r="C153" i="2"/>
  <c r="E152" i="2"/>
  <c r="I152" i="2" s="1"/>
  <c r="C154" i="2" l="1"/>
  <c r="G153" i="2"/>
  <c r="E153" i="2"/>
  <c r="I153" i="2" s="1"/>
  <c r="D154" i="2"/>
  <c r="F153" i="2"/>
  <c r="J153" i="2" s="1"/>
  <c r="H153" i="2"/>
  <c r="H154" i="2" l="1"/>
  <c r="F154" i="2"/>
  <c r="J154" i="2" s="1"/>
  <c r="D155" i="2"/>
  <c r="G154" i="2"/>
  <c r="C155" i="2"/>
  <c r="E154" i="2"/>
  <c r="I154" i="2" s="1"/>
  <c r="F155" i="2" l="1"/>
  <c r="J155" i="2" s="1"/>
  <c r="H155" i="2"/>
  <c r="D156" i="2"/>
  <c r="G155" i="2"/>
  <c r="C156" i="2"/>
  <c r="E155" i="2"/>
  <c r="I155" i="2" s="1"/>
  <c r="G156" i="2" l="1"/>
  <c r="E156" i="2"/>
  <c r="I156" i="2" s="1"/>
  <c r="C157" i="2"/>
  <c r="H156" i="2"/>
  <c r="D157" i="2"/>
  <c r="F156" i="2"/>
  <c r="J156" i="2" s="1"/>
  <c r="F157" i="2" l="1"/>
  <c r="J157" i="2" s="1"/>
  <c r="D158" i="2"/>
  <c r="H157" i="2"/>
  <c r="E157" i="2"/>
  <c r="I157" i="2" s="1"/>
  <c r="C158" i="2"/>
  <c r="G157" i="2"/>
  <c r="H158" i="2" l="1"/>
  <c r="D159" i="2"/>
  <c r="F158" i="2"/>
  <c r="J158" i="2" s="1"/>
  <c r="G158" i="2"/>
  <c r="C159" i="2"/>
  <c r="E158" i="2"/>
  <c r="I158" i="2" s="1"/>
  <c r="G159" i="2" l="1"/>
  <c r="C160" i="2"/>
  <c r="E159" i="2"/>
  <c r="I159" i="2" s="1"/>
  <c r="D160" i="2"/>
  <c r="H159" i="2"/>
  <c r="F159" i="2"/>
  <c r="J159" i="2" s="1"/>
  <c r="G160" i="2" l="1"/>
  <c r="E160" i="2"/>
  <c r="I160" i="2" s="1"/>
  <c r="C161" i="2"/>
  <c r="H160" i="2"/>
  <c r="D161" i="2"/>
  <c r="F160" i="2"/>
  <c r="J160" i="2" s="1"/>
  <c r="D162" i="2" l="1"/>
  <c r="F161" i="2"/>
  <c r="J161" i="2" s="1"/>
  <c r="H161" i="2"/>
  <c r="C162" i="2"/>
  <c r="G161" i="2"/>
  <c r="E161" i="2"/>
  <c r="I161" i="2" s="1"/>
  <c r="G162" i="2" l="1"/>
  <c r="C163" i="2"/>
  <c r="E162" i="2"/>
  <c r="I162" i="2" s="1"/>
  <c r="H162" i="2"/>
  <c r="D163" i="2"/>
  <c r="F162" i="2"/>
  <c r="J162" i="2" s="1"/>
  <c r="D164" i="2" l="1"/>
  <c r="H163" i="2"/>
  <c r="F163" i="2"/>
  <c r="J163" i="2" s="1"/>
  <c r="G163" i="2"/>
  <c r="C164" i="2"/>
  <c r="E163" i="2"/>
  <c r="I163" i="2" s="1"/>
  <c r="G164" i="2" l="1"/>
  <c r="E164" i="2"/>
  <c r="I164" i="2" s="1"/>
  <c r="C165" i="2"/>
  <c r="H164" i="2"/>
  <c r="F164" i="2"/>
  <c r="J164" i="2" s="1"/>
  <c r="D165" i="2"/>
  <c r="E165" i="2" l="1"/>
  <c r="I165" i="2" s="1"/>
  <c r="C166" i="2"/>
  <c r="G165" i="2"/>
  <c r="F165" i="2"/>
  <c r="J165" i="2" s="1"/>
  <c r="H165" i="2"/>
  <c r="D166" i="2"/>
  <c r="G166" i="2" l="1"/>
  <c r="C167" i="2"/>
  <c r="E166" i="2"/>
  <c r="I166" i="2" s="1"/>
  <c r="H166" i="2"/>
  <c r="D167" i="2"/>
  <c r="F166" i="2"/>
  <c r="J166" i="2" s="1"/>
  <c r="H167" i="2" l="1"/>
  <c r="F167" i="2"/>
  <c r="J167" i="2" s="1"/>
  <c r="D168" i="2"/>
  <c r="E167" i="2"/>
  <c r="I167" i="2" s="1"/>
  <c r="C168" i="2"/>
  <c r="G167" i="2"/>
  <c r="H168" i="2" l="1"/>
  <c r="D169" i="2"/>
  <c r="F168" i="2"/>
  <c r="J168" i="2" s="1"/>
  <c r="G168" i="2"/>
  <c r="E168" i="2"/>
  <c r="I168" i="2" s="1"/>
  <c r="C169" i="2"/>
  <c r="C170" i="2" l="1"/>
  <c r="G169" i="2"/>
  <c r="E169" i="2"/>
  <c r="I169" i="2" s="1"/>
  <c r="D170" i="2"/>
  <c r="H169" i="2"/>
  <c r="F169" i="2"/>
  <c r="J169" i="2" s="1"/>
  <c r="H170" i="2" l="1"/>
  <c r="F170" i="2"/>
  <c r="J170" i="2" s="1"/>
  <c r="D171" i="2"/>
  <c r="G170" i="2"/>
  <c r="C171" i="2"/>
  <c r="E170" i="2"/>
  <c r="I170" i="2" s="1"/>
  <c r="D172" i="2" l="1"/>
  <c r="H171" i="2"/>
  <c r="F171" i="2"/>
  <c r="J171" i="2" s="1"/>
  <c r="C172" i="2"/>
  <c r="E171" i="2"/>
  <c r="I171" i="2" s="1"/>
  <c r="G171" i="2"/>
  <c r="G172" i="2" l="1"/>
  <c r="E172" i="2"/>
  <c r="I172" i="2" s="1"/>
  <c r="C173" i="2"/>
  <c r="H172" i="2"/>
  <c r="F172" i="2"/>
  <c r="J172" i="2" s="1"/>
  <c r="D173" i="2"/>
  <c r="C174" i="2" l="1"/>
  <c r="G173" i="2"/>
  <c r="E173" i="2"/>
  <c r="I173" i="2" s="1"/>
  <c r="D174" i="2"/>
  <c r="F173" i="2"/>
  <c r="J173" i="2" s="1"/>
  <c r="H173" i="2"/>
  <c r="H174" i="2" l="1"/>
  <c r="D175" i="2"/>
  <c r="F174" i="2"/>
  <c r="J174" i="2" s="1"/>
  <c r="G174" i="2"/>
  <c r="E174" i="2"/>
  <c r="I174" i="2" s="1"/>
  <c r="C175" i="2"/>
  <c r="D176" i="2" l="1"/>
  <c r="H175" i="2"/>
  <c r="F175" i="2"/>
  <c r="J175" i="2" s="1"/>
  <c r="E175" i="2"/>
  <c r="I175" i="2" s="1"/>
  <c r="C176" i="2"/>
  <c r="G175" i="2"/>
  <c r="G176" i="2" l="1"/>
  <c r="C177" i="2"/>
  <c r="E176" i="2"/>
  <c r="I176" i="2" s="1"/>
  <c r="H176" i="2"/>
  <c r="D177" i="2"/>
  <c r="F176" i="2"/>
  <c r="J176" i="2" s="1"/>
  <c r="H177" i="2" l="1"/>
  <c r="D178" i="2"/>
  <c r="F177" i="2"/>
  <c r="J177" i="2" s="1"/>
  <c r="G177" i="2"/>
  <c r="E177" i="2"/>
  <c r="I177" i="2" s="1"/>
  <c r="C178" i="2"/>
  <c r="G178" i="2" l="1"/>
  <c r="E178" i="2"/>
  <c r="I178" i="2" s="1"/>
  <c r="C179" i="2"/>
  <c r="H178" i="2"/>
  <c r="F178" i="2"/>
  <c r="J178" i="2" s="1"/>
  <c r="D179" i="2"/>
  <c r="F179" i="2" l="1"/>
  <c r="J179" i="2" s="1"/>
  <c r="D180" i="2"/>
  <c r="H179" i="2"/>
  <c r="C180" i="2"/>
  <c r="G179" i="2"/>
  <c r="E179" i="2"/>
  <c r="I179" i="2" s="1"/>
  <c r="G180" i="2" l="1"/>
  <c r="C181" i="2"/>
  <c r="E180" i="2"/>
  <c r="I180" i="2" s="1"/>
  <c r="H180" i="2"/>
  <c r="D181" i="2"/>
  <c r="F180" i="2"/>
  <c r="J180" i="2" s="1"/>
  <c r="G181" i="2" l="1"/>
  <c r="N2" i="2" s="1"/>
  <c r="E181" i="2"/>
  <c r="H181" i="2"/>
  <c r="N3" i="2" s="1"/>
  <c r="F181" i="2"/>
  <c r="J181" i="2" l="1"/>
  <c r="P3" i="2" s="1"/>
  <c r="O3" i="2"/>
  <c r="I181" i="2"/>
  <c r="P2" i="2" s="1"/>
  <c r="O2" i="2"/>
</calcChain>
</file>

<file path=xl/sharedStrings.xml><?xml version="1.0" encoding="utf-8"?>
<sst xmlns="http://schemas.openxmlformats.org/spreadsheetml/2006/main" count="211" uniqueCount="143">
  <si>
    <t>Date</t>
  </si>
  <si>
    <t>Container</t>
  </si>
  <si>
    <t>GCTI</t>
  </si>
  <si>
    <t>CCFI</t>
  </si>
  <si>
    <t>SCFI</t>
  </si>
  <si>
    <t>IPI_TW</t>
  </si>
  <si>
    <t>Retail sales index_EU</t>
  </si>
  <si>
    <t>Retail value_CN</t>
  </si>
  <si>
    <t xml:space="preserve">Export_ basemetals </t>
  </si>
  <si>
    <t>Import_chemical</t>
  </si>
  <si>
    <t>Retail sales index_US</t>
  </si>
  <si>
    <t>Container_SeasonIndex</t>
  </si>
  <si>
    <t>Export_chemical</t>
  </si>
  <si>
    <t xml:space="preserve">Import_ base metals </t>
  </si>
  <si>
    <t>Import_vegetable of products</t>
  </si>
  <si>
    <t>WTI crude Oil</t>
  </si>
  <si>
    <t>Export_ plastics</t>
  </si>
  <si>
    <t>Import_machine</t>
  </si>
  <si>
    <t>TEST</t>
  </si>
  <si>
    <t>ERROR</t>
  </si>
  <si>
    <t>摘要輸出</t>
  </si>
  <si>
    <t>RMSE</t>
  </si>
  <si>
    <t>MAE</t>
  </si>
  <si>
    <t>MAPE</t>
  </si>
  <si>
    <t>Train 2011-2022</t>
  </si>
  <si>
    <t>迴歸統計</t>
  </si>
  <si>
    <t>Test 2023-2025</t>
  </si>
  <si>
    <t>R 的倍數</t>
  </si>
  <si>
    <t>R 平方</t>
  </si>
  <si>
    <t>調整的 R 平方</t>
  </si>
  <si>
    <t>1.看起來R調整後落差沒有很大，代表資料並未特別無腦塞入</t>
  </si>
  <si>
    <t>標準誤</t>
  </si>
  <si>
    <t>2.另外在16個預測變數中，有7個P&lt;0.05，代表看起來這幾個參數應該是有影響可以作為預測條件</t>
  </si>
  <si>
    <t>觀察值個數</t>
  </si>
  <si>
    <t>3.其餘的部分，可能是沒用，但也可能跟別人重疊，需要再觀察或是用其他手法區分</t>
  </si>
  <si>
    <t>ANOVA</t>
  </si>
  <si>
    <t>自由度</t>
  </si>
  <si>
    <t>SS</t>
  </si>
  <si>
    <t>MS</t>
  </si>
  <si>
    <t>F</t>
  </si>
  <si>
    <t>顯著值</t>
  </si>
  <si>
    <t>迴歸</t>
  </si>
  <si>
    <t>殘差</t>
  </si>
  <si>
    <t>總和</t>
  </si>
  <si>
    <t>係數</t>
  </si>
  <si>
    <t>t 統計</t>
  </si>
  <si>
    <t>P-值</t>
  </si>
  <si>
    <t>下限 95%</t>
  </si>
  <si>
    <t>上限 95%</t>
  </si>
  <si>
    <t>下限 95.0%</t>
  </si>
  <si>
    <t>上限 95.0%</t>
  </si>
  <si>
    <t>截距</t>
  </si>
  <si>
    <t>百分比</t>
  </si>
  <si>
    <t>Y</t>
  </si>
  <si>
    <t>SMA(3)</t>
  </si>
  <si>
    <t>SMA(6)</t>
  </si>
  <si>
    <t>ABS(3)</t>
  </si>
  <si>
    <t>ABS(6)</t>
  </si>
  <si>
    <t>sq(3)</t>
  </si>
  <si>
    <t>sq(6)</t>
  </si>
  <si>
    <t>APE(3)</t>
  </si>
  <si>
    <t>APE(6)</t>
  </si>
  <si>
    <t>SMA_3</t>
  </si>
  <si>
    <t>SMA_6</t>
  </si>
  <si>
    <t>ABS(0.2)</t>
  </si>
  <si>
    <t>ABS(0.4)</t>
  </si>
  <si>
    <t>sq(0.2)</t>
  </si>
  <si>
    <t>sq(0.4)</t>
  </si>
  <si>
    <t>APE(0.2)</t>
  </si>
  <si>
    <t>APE(0.4)</t>
  </si>
  <si>
    <t>Q4 資產組合比較：台灣 vs 日本 / 韓國 / 印度（2011–2025 半年度，30 樣本）</t>
  </si>
  <si>
    <t>資料來源：資產組合(NLP).xlsx — Regression 工作表；各半年度取該期間最後一個交易日收盤價，報酬率 = 期末價 ÷ 前期期末價 − 1</t>
  </si>
  <si>
    <t>A. 半年度期末收盤價（Base + 30 期）</t>
  </si>
  <si>
    <t>期間</t>
  </si>
  <si>
    <t>期末日期</t>
  </si>
  <si>
    <t>Taiwan</t>
  </si>
  <si>
    <t>Japan</t>
  </si>
  <si>
    <t>Korea</t>
  </si>
  <si>
    <t>India</t>
  </si>
  <si>
    <t>2011Base</t>
  </si>
  <si>
    <t>2011H1</t>
  </si>
  <si>
    <t>2011H2</t>
  </si>
  <si>
    <t>2012H1</t>
  </si>
  <si>
    <t>2012H2</t>
  </si>
  <si>
    <t>2013H1</t>
  </si>
  <si>
    <t>2013H2</t>
  </si>
  <si>
    <t>2014H1</t>
  </si>
  <si>
    <t>2014H2</t>
  </si>
  <si>
    <t>2015H1</t>
  </si>
  <si>
    <t>2015H2</t>
  </si>
  <si>
    <t>2016H1</t>
  </si>
  <si>
    <t>2016H2</t>
  </si>
  <si>
    <t>2017H1</t>
  </si>
  <si>
    <t>2017H2</t>
  </si>
  <si>
    <t>2018H1</t>
  </si>
  <si>
    <t>2018H2</t>
  </si>
  <si>
    <t>2019H1</t>
  </si>
  <si>
    <t>2019H2</t>
  </si>
  <si>
    <t>2020H1</t>
  </si>
  <si>
    <t>2020H2</t>
  </si>
  <si>
    <t>2021H1</t>
  </si>
  <si>
    <t>2021H2</t>
  </si>
  <si>
    <t>2022H1</t>
  </si>
  <si>
    <t>2022H2</t>
  </si>
  <si>
    <t>2023H1</t>
  </si>
  <si>
    <t>2023H2</t>
  </si>
  <si>
    <t>2024H1</t>
  </si>
  <si>
    <t>2024H2</t>
  </si>
  <si>
    <t>2025H1</t>
  </si>
  <si>
    <t>2025H2</t>
  </si>
  <si>
    <t>B. 半年度報酬率（30 樣本，公式計算）</t>
  </si>
  <si>
    <t>C. 統計量（風險 = 半年度報酬變異數）</t>
  </si>
  <si>
    <t>統計量</t>
  </si>
  <si>
    <t>平均半年度報酬</t>
  </si>
  <si>
    <t>半年度變異數（風險）</t>
  </si>
  <si>
    <t>半年度標準差</t>
  </si>
  <si>
    <t>年化報酬（(1+平均)^2−1）</t>
  </si>
  <si>
    <t>變異係數 CV（風險/報酬）</t>
  </si>
  <si>
    <t>與台灣的相關係數</t>
  </si>
  <si>
    <t>D. 配對比較（Taiwan vs 對手）</t>
  </si>
  <si>
    <t>配對</t>
  </si>
  <si>
    <t>報酬差（TW−對手）</t>
  </si>
  <si>
    <t>風險差（TW變異數−對手）</t>
  </si>
  <si>
    <t>報酬較高者</t>
  </si>
  <si>
    <t>風險較低者</t>
  </si>
  <si>
    <t>風險調整後較佳（CV 較小）</t>
  </si>
  <si>
    <t>Taiwan vs Japan</t>
  </si>
  <si>
    <t>Taiwan vs Korea</t>
  </si>
  <si>
    <t>Taiwan vs India</t>
  </si>
  <si>
    <t>E. 結論與投資組合管理意涵</t>
  </si>
  <si>
    <t>【結論】（2011–2025 半年度報酬，30 樣本；數值對照上方 C/D 區）</t>
  </si>
  <si>
    <t>1. 報酬比較：日本（+6.15%）＞ 印度（+5.36%）＞ 台灣（+4.62%）＞ 韓國（+3.19%）——日本半年度平均報酬最高，韓國最低。</t>
  </si>
  <si>
    <t>2. 風險比較（半年度報酬變異數）：印度（0.0112）＜ 台灣（0.0148）＜ 日本（0.0165）＜ 韓國（0.0182）——印度波動最小，韓國風險最高。</t>
  </si>
  <si>
    <t>3. 風險調整後（CV = 每單位報酬承擔的風險）：印度（1.97）＜ 日本（2.09）＜ 台灣（2.63）＜ 韓國（4.23）——印度每承擔一單位風險換到的報酬最高。</t>
  </si>
  <si>
    <t>4. 配對結果：台灣 vs 韓國——台灣報酬較高且風險較低，全面勝出（韓國被支配）；台灣 vs 印度——印度報酬較高且風險較低，全面勝出；台灣 vs 日本——日本報酬較高但風險也略高，風險調整後（CV）日本較佳。</t>
  </si>
  <si>
    <t>5. 相關係數：台灣與韓國 0.73（最高，科技供應鏈高度重疊）＞ 與日本 0.63 ＞ 與印度 0.57（最低，市場驅動因子差異較大）。</t>
  </si>
  <si>
    <t>【投資組合管理意涵】</t>
  </si>
  <si>
    <t>1. 風險與報酬的取捨（Risk-Return Trade-off）：沒有任何市場同時「報酬最高且風險最低」——日本報酬最高但變異數僅次於韓國；印度報酬第二高卻是四者中風險最低。投資人應依風險承受度與報酬目標共同決定配置，而非只看單一指標。</t>
  </si>
  <si>
    <t>2. 被支配市場應降低配置：韓國相對台灣「報酬更低、風險更高」，且與台灣相關性最高（0.73）——同時持有台韓既無報酬補償、也無分散效益，配置價值最低。</t>
  </si>
  <si>
    <t>3. 分散風險（Diversification）：台灣與印度相關性最低（0.57），組合變異數可低於個別市場的加權平均——「台灣＋印度」是分散效益最好的組合；「台灣＋韓國」分散效果最差。</t>
  </si>
  <si>
    <t>4. 核心衛星配置（Core-Satellite）：以台灣與日本為核心（成熟、流動性佳），搭配印度作為衛星成長引擎（高報酬、低變異、低相關），可在提升報酬的同時壓低組合整體風險。</t>
  </si>
  <si>
    <t>5. 定期再平衡：各市場相對強弱隨景氣循環輪動（半導體週期、日圓匯率、印度內需），應每半年更新本表統計量並再平衡權重。</t>
  </si>
  <si>
    <t>6. 限制：本分析僅比較報酬與變異數，未納入匯率風險、交易成本與流動性；歷史變異數不代表未來風險，實務應輔以壓力測試與情境分析。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</si>
</sst>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_ "/>
    <numFmt numFmtId="177" formatCode="yyyy/mm/dd"/>
    <numFmt numFmtId="178" formatCode="0.000000"/>
    <numFmt numFmtId="179" formatCode="0.0000"/>
    <numFmt numFmtId="180" formatCode="\+0.00%;\-0.00%"/>
    <numFmt numFmtId="181" formatCode="\+0.000000;\-0.000000"/>
  </numFmts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3"/>
      <color rgb="FFFFFFFF"/>
      <name val="新細明體"/>
      <family val="1"/>
      <charset val="136"/>
    </font>
    <font>
      <i/>
      <sz val="9"/>
      <color rgb="FF808080"/>
      <name val="新細明體"/>
      <family val="1"/>
      <charset val="136"/>
    </font>
    <font>
      <b/>
      <sz val="11"/>
      <color rgb="FFFFFFFF"/>
      <name val="新細明體"/>
      <family val="1"/>
      <charset val="136"/>
    </font>
    <font>
      <b/>
      <sz val="12"/>
      <name val="新細明體"/>
      <family val="1"/>
      <charset val="136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9E2F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1" xfId="0" applyBorder="1">
      <alignment vertical="center"/>
    </xf>
    <xf numFmtId="11" fontId="0" fillId="0" borderId="1" xfId="0" applyNumberFormat="1" applyBorder="1">
      <alignment vertical="center"/>
    </xf>
    <xf numFmtId="10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14" fontId="0" fillId="4" borderId="1" xfId="0" applyNumberFormat="1" applyFill="1" applyBorder="1">
      <alignment vertical="center"/>
    </xf>
    <xf numFmtId="0" fontId="0" fillId="5" borderId="1" xfId="0" applyFill="1" applyBorder="1">
      <alignment vertical="center"/>
    </xf>
    <xf numFmtId="176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Continuous"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0" xfId="0" applyFill="1">
      <alignment vertical="center"/>
    </xf>
    <xf numFmtId="0" fontId="0" fillId="2" borderId="2" xfId="0" applyFill="1" applyBorder="1">
      <alignment vertical="center"/>
    </xf>
    <xf numFmtId="0" fontId="0" fillId="9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Alignment="1"/>
    <xf numFmtId="0" fontId="2" fillId="10" borderId="0" xfId="0" applyFont="1" applyFill="1" applyAlignment="1"/>
    <xf numFmtId="0" fontId="0" fillId="10" borderId="0" xfId="0" applyFill="1" applyAlignment="1"/>
    <xf numFmtId="0" fontId="3" fillId="0" borderId="0" xfId="0" applyFont="1" applyAlignment="1"/>
    <xf numFmtId="0" fontId="4" fillId="11" borderId="0" xfId="0" applyFont="1" applyFill="1" applyAlignment="1"/>
    <xf numFmtId="0" fontId="0" fillId="11" borderId="0" xfId="0" applyFill="1" applyAlignment="1"/>
    <xf numFmtId="0" fontId="5" fillId="12" borderId="4" xfId="0" applyFont="1" applyFill="1" applyBorder="1" applyAlignment="1">
      <alignment horizontal="center" vertical="center"/>
    </xf>
    <xf numFmtId="177" fontId="0" fillId="0" borderId="0" xfId="0" applyNumberFormat="1" applyAlignment="1"/>
    <xf numFmtId="4" fontId="0" fillId="0" borderId="0" xfId="0" applyNumberFormat="1" applyAlignment="1"/>
    <xf numFmtId="10" fontId="0" fillId="0" borderId="0" xfId="0" applyNumberFormat="1" applyAlignment="1"/>
    <xf numFmtId="0" fontId="5" fillId="0" borderId="0" xfId="0" applyFont="1" applyAlignment="1"/>
    <xf numFmtId="178" fontId="0" fillId="0" borderId="0" xfId="0" applyNumberFormat="1" applyAlignment="1"/>
    <xf numFmtId="2" fontId="0" fillId="0" borderId="0" xfId="0" applyNumberFormat="1" applyAlignment="1"/>
    <xf numFmtId="179" fontId="0" fillId="0" borderId="0" xfId="0" applyNumberFormat="1" applyAlignment="1"/>
    <xf numFmtId="180" fontId="0" fillId="0" borderId="0" xfId="0" applyNumberFormat="1" applyAlignment="1"/>
    <xf numFmtId="181" fontId="0" fillId="0" borderId="0" xfId="0" applyNumberForma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實際與</a:t>
            </a:r>
            <a:r>
              <a:rPr lang="en-US"/>
              <a:t>SMA</a:t>
            </a:r>
            <a:r>
              <a:rPr lang="zh-TW"/>
              <a:t> </a:t>
            </a:r>
            <a:r>
              <a:rPr lang="en-US"/>
              <a:t>3</a:t>
            </a:r>
            <a:r>
              <a:rPr lang="zh-TW"/>
              <a:t> </a:t>
            </a:r>
            <a:r>
              <a:rPr lang="en-US"/>
              <a:t>|</a:t>
            </a:r>
            <a:r>
              <a:rPr lang="zh-TW"/>
              <a:t> </a:t>
            </a:r>
            <a:r>
              <a:rPr lang="en-US"/>
              <a:t>SMA</a:t>
            </a:r>
            <a:r>
              <a:rPr lang="zh-TW"/>
              <a:t> </a:t>
            </a:r>
            <a:r>
              <a:rPr lang="en-US"/>
              <a:t>6</a:t>
            </a:r>
            <a:r>
              <a:rPr lang="zh-TW"/>
              <a:t> 差異曲線圖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'Q1 SMA'!$B$1</c:f>
              <c:strCache>
                <c:ptCount val="1"/>
                <c:pt idx="0">
                  <c:v>Container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delete val="1"/>
          </c:dLbls>
          <c:cat>
            <c:numRef>
              <c:f>'Q1 SMA'!$A$8:$A$181</c:f>
              <c:numCache>
                <c:formatCode>m/d/yyyy</c:formatCode>
                <c:ptCount val="174"/>
                <c:pt idx="0">
                  <c:v>40725</c:v>
                </c:pt>
                <c:pt idx="1">
                  <c:v>40756</c:v>
                </c:pt>
                <c:pt idx="2">
                  <c:v>40787</c:v>
                </c:pt>
                <c:pt idx="3">
                  <c:v>40817</c:v>
                </c:pt>
                <c:pt idx="4">
                  <c:v>40848</c:v>
                </c:pt>
                <c:pt idx="5">
                  <c:v>40878</c:v>
                </c:pt>
                <c:pt idx="6">
                  <c:v>40909</c:v>
                </c:pt>
                <c:pt idx="7">
                  <c:v>40940</c:v>
                </c:pt>
                <c:pt idx="8">
                  <c:v>40969</c:v>
                </c:pt>
                <c:pt idx="9">
                  <c:v>41000</c:v>
                </c:pt>
                <c:pt idx="10">
                  <c:v>41030</c:v>
                </c:pt>
                <c:pt idx="11">
                  <c:v>41061</c:v>
                </c:pt>
                <c:pt idx="12">
                  <c:v>41091</c:v>
                </c:pt>
                <c:pt idx="13">
                  <c:v>41122</c:v>
                </c:pt>
                <c:pt idx="14">
                  <c:v>41153</c:v>
                </c:pt>
                <c:pt idx="15">
                  <c:v>41183</c:v>
                </c:pt>
                <c:pt idx="16">
                  <c:v>41214</c:v>
                </c:pt>
                <c:pt idx="17">
                  <c:v>41244</c:v>
                </c:pt>
                <c:pt idx="18">
                  <c:v>41275</c:v>
                </c:pt>
                <c:pt idx="19">
                  <c:v>41306</c:v>
                </c:pt>
                <c:pt idx="20">
                  <c:v>41334</c:v>
                </c:pt>
                <c:pt idx="21">
                  <c:v>41365</c:v>
                </c:pt>
                <c:pt idx="22">
                  <c:v>41395</c:v>
                </c:pt>
                <c:pt idx="23">
                  <c:v>41426</c:v>
                </c:pt>
                <c:pt idx="24">
                  <c:v>41456</c:v>
                </c:pt>
                <c:pt idx="25">
                  <c:v>41487</c:v>
                </c:pt>
                <c:pt idx="26">
                  <c:v>41518</c:v>
                </c:pt>
                <c:pt idx="27">
                  <c:v>41548</c:v>
                </c:pt>
                <c:pt idx="28">
                  <c:v>41579</c:v>
                </c:pt>
                <c:pt idx="29">
                  <c:v>41609</c:v>
                </c:pt>
                <c:pt idx="30">
                  <c:v>41640</c:v>
                </c:pt>
                <c:pt idx="31">
                  <c:v>41671</c:v>
                </c:pt>
                <c:pt idx="32">
                  <c:v>41699</c:v>
                </c:pt>
                <c:pt idx="33">
                  <c:v>41730</c:v>
                </c:pt>
                <c:pt idx="34">
                  <c:v>41760</c:v>
                </c:pt>
                <c:pt idx="35">
                  <c:v>41791</c:v>
                </c:pt>
                <c:pt idx="36">
                  <c:v>41821</c:v>
                </c:pt>
                <c:pt idx="37">
                  <c:v>41852</c:v>
                </c:pt>
                <c:pt idx="38">
                  <c:v>41883</c:v>
                </c:pt>
                <c:pt idx="39">
                  <c:v>41913</c:v>
                </c:pt>
                <c:pt idx="40">
                  <c:v>41944</c:v>
                </c:pt>
                <c:pt idx="41">
                  <c:v>41974</c:v>
                </c:pt>
                <c:pt idx="42">
                  <c:v>42005</c:v>
                </c:pt>
                <c:pt idx="43">
                  <c:v>42036</c:v>
                </c:pt>
                <c:pt idx="44">
                  <c:v>42064</c:v>
                </c:pt>
                <c:pt idx="45">
                  <c:v>42095</c:v>
                </c:pt>
                <c:pt idx="46">
                  <c:v>42125</c:v>
                </c:pt>
                <c:pt idx="47">
                  <c:v>42156</c:v>
                </c:pt>
                <c:pt idx="48">
                  <c:v>42186</c:v>
                </c:pt>
                <c:pt idx="49">
                  <c:v>42217</c:v>
                </c:pt>
                <c:pt idx="50">
                  <c:v>42248</c:v>
                </c:pt>
                <c:pt idx="51">
                  <c:v>42278</c:v>
                </c:pt>
                <c:pt idx="52">
                  <c:v>42309</c:v>
                </c:pt>
                <c:pt idx="53">
                  <c:v>42339</c:v>
                </c:pt>
                <c:pt idx="54">
                  <c:v>42370</c:v>
                </c:pt>
                <c:pt idx="55">
                  <c:v>42401</c:v>
                </c:pt>
                <c:pt idx="56">
                  <c:v>42430</c:v>
                </c:pt>
                <c:pt idx="57">
                  <c:v>42461</c:v>
                </c:pt>
                <c:pt idx="58">
                  <c:v>42491</c:v>
                </c:pt>
                <c:pt idx="59">
                  <c:v>42522</c:v>
                </c:pt>
                <c:pt idx="60">
                  <c:v>42552</c:v>
                </c:pt>
                <c:pt idx="61">
                  <c:v>42583</c:v>
                </c:pt>
                <c:pt idx="62">
                  <c:v>42614</c:v>
                </c:pt>
                <c:pt idx="63">
                  <c:v>42644</c:v>
                </c:pt>
                <c:pt idx="64">
                  <c:v>42675</c:v>
                </c:pt>
                <c:pt idx="65">
                  <c:v>42705</c:v>
                </c:pt>
                <c:pt idx="66">
                  <c:v>42736</c:v>
                </c:pt>
                <c:pt idx="67">
                  <c:v>42767</c:v>
                </c:pt>
                <c:pt idx="68">
                  <c:v>42795</c:v>
                </c:pt>
                <c:pt idx="69">
                  <c:v>42826</c:v>
                </c:pt>
                <c:pt idx="70">
                  <c:v>42856</c:v>
                </c:pt>
                <c:pt idx="71">
                  <c:v>42887</c:v>
                </c:pt>
                <c:pt idx="72">
                  <c:v>42917</c:v>
                </c:pt>
                <c:pt idx="73">
                  <c:v>42948</c:v>
                </c:pt>
                <c:pt idx="74">
                  <c:v>42979</c:v>
                </c:pt>
                <c:pt idx="75">
                  <c:v>43009</c:v>
                </c:pt>
                <c:pt idx="76">
                  <c:v>43040</c:v>
                </c:pt>
                <c:pt idx="77">
                  <c:v>43070</c:v>
                </c:pt>
                <c:pt idx="78">
                  <c:v>43101</c:v>
                </c:pt>
                <c:pt idx="79">
                  <c:v>43132</c:v>
                </c:pt>
                <c:pt idx="80">
                  <c:v>43160</c:v>
                </c:pt>
                <c:pt idx="81">
                  <c:v>43191</c:v>
                </c:pt>
                <c:pt idx="82">
                  <c:v>43221</c:v>
                </c:pt>
                <c:pt idx="83">
                  <c:v>43252</c:v>
                </c:pt>
                <c:pt idx="84">
                  <c:v>43282</c:v>
                </c:pt>
                <c:pt idx="85">
                  <c:v>43313</c:v>
                </c:pt>
                <c:pt idx="86">
                  <c:v>43344</c:v>
                </c:pt>
                <c:pt idx="87">
                  <c:v>43374</c:v>
                </c:pt>
                <c:pt idx="88">
                  <c:v>43405</c:v>
                </c:pt>
                <c:pt idx="89">
                  <c:v>43435</c:v>
                </c:pt>
                <c:pt idx="90">
                  <c:v>43466</c:v>
                </c:pt>
                <c:pt idx="91">
                  <c:v>43497</c:v>
                </c:pt>
                <c:pt idx="92">
                  <c:v>43525</c:v>
                </c:pt>
                <c:pt idx="93">
                  <c:v>43556</c:v>
                </c:pt>
                <c:pt idx="94">
                  <c:v>43586</c:v>
                </c:pt>
                <c:pt idx="95">
                  <c:v>43617</c:v>
                </c:pt>
                <c:pt idx="96">
                  <c:v>43647</c:v>
                </c:pt>
                <c:pt idx="97">
                  <c:v>43678</c:v>
                </c:pt>
                <c:pt idx="98">
                  <c:v>43709</c:v>
                </c:pt>
                <c:pt idx="99">
                  <c:v>43739</c:v>
                </c:pt>
                <c:pt idx="100">
                  <c:v>43770</c:v>
                </c:pt>
                <c:pt idx="101">
                  <c:v>43800</c:v>
                </c:pt>
                <c:pt idx="102">
                  <c:v>43831</c:v>
                </c:pt>
                <c:pt idx="103">
                  <c:v>43862</c:v>
                </c:pt>
                <c:pt idx="104">
                  <c:v>43891</c:v>
                </c:pt>
                <c:pt idx="105">
                  <c:v>43922</c:v>
                </c:pt>
                <c:pt idx="106">
                  <c:v>43952</c:v>
                </c:pt>
                <c:pt idx="107">
                  <c:v>43983</c:v>
                </c:pt>
                <c:pt idx="108">
                  <c:v>44013</c:v>
                </c:pt>
                <c:pt idx="109">
                  <c:v>44044</c:v>
                </c:pt>
                <c:pt idx="110">
                  <c:v>44075</c:v>
                </c:pt>
                <c:pt idx="111">
                  <c:v>44105</c:v>
                </c:pt>
                <c:pt idx="112">
                  <c:v>44136</c:v>
                </c:pt>
                <c:pt idx="113">
                  <c:v>44166</c:v>
                </c:pt>
                <c:pt idx="114">
                  <c:v>44197</c:v>
                </c:pt>
                <c:pt idx="115">
                  <c:v>44228</c:v>
                </c:pt>
                <c:pt idx="116">
                  <c:v>44256</c:v>
                </c:pt>
                <c:pt idx="117">
                  <c:v>44287</c:v>
                </c:pt>
                <c:pt idx="118">
                  <c:v>44317</c:v>
                </c:pt>
                <c:pt idx="119">
                  <c:v>44348</c:v>
                </c:pt>
                <c:pt idx="120">
                  <c:v>44378</c:v>
                </c:pt>
                <c:pt idx="121">
                  <c:v>44409</c:v>
                </c:pt>
                <c:pt idx="122">
                  <c:v>44440</c:v>
                </c:pt>
                <c:pt idx="123">
                  <c:v>44470</c:v>
                </c:pt>
                <c:pt idx="124">
                  <c:v>44501</c:v>
                </c:pt>
                <c:pt idx="125">
                  <c:v>44531</c:v>
                </c:pt>
                <c:pt idx="126">
                  <c:v>44562</c:v>
                </c:pt>
                <c:pt idx="127">
                  <c:v>44593</c:v>
                </c:pt>
                <c:pt idx="128">
                  <c:v>44621</c:v>
                </c:pt>
                <c:pt idx="129">
                  <c:v>44652</c:v>
                </c:pt>
                <c:pt idx="130">
                  <c:v>44682</c:v>
                </c:pt>
                <c:pt idx="131">
                  <c:v>44713</c:v>
                </c:pt>
                <c:pt idx="132">
                  <c:v>44743</c:v>
                </c:pt>
                <c:pt idx="133">
                  <c:v>44774</c:v>
                </c:pt>
                <c:pt idx="134">
                  <c:v>44805</c:v>
                </c:pt>
                <c:pt idx="135">
                  <c:v>44835</c:v>
                </c:pt>
                <c:pt idx="136">
                  <c:v>44866</c:v>
                </c:pt>
                <c:pt idx="137">
                  <c:v>44896</c:v>
                </c:pt>
                <c:pt idx="138">
                  <c:v>44927</c:v>
                </c:pt>
                <c:pt idx="139">
                  <c:v>44958</c:v>
                </c:pt>
                <c:pt idx="140">
                  <c:v>44986</c:v>
                </c:pt>
                <c:pt idx="141">
                  <c:v>45017</c:v>
                </c:pt>
                <c:pt idx="142">
                  <c:v>45047</c:v>
                </c:pt>
                <c:pt idx="143">
                  <c:v>45078</c:v>
                </c:pt>
                <c:pt idx="144">
                  <c:v>45108</c:v>
                </c:pt>
                <c:pt idx="145">
                  <c:v>45139</c:v>
                </c:pt>
                <c:pt idx="146">
                  <c:v>45170</c:v>
                </c:pt>
                <c:pt idx="147">
                  <c:v>45200</c:v>
                </c:pt>
                <c:pt idx="148">
                  <c:v>45231</c:v>
                </c:pt>
                <c:pt idx="149">
                  <c:v>45261</c:v>
                </c:pt>
                <c:pt idx="150">
                  <c:v>45292</c:v>
                </c:pt>
                <c:pt idx="151">
                  <c:v>45323</c:v>
                </c:pt>
                <c:pt idx="152">
                  <c:v>45352</c:v>
                </c:pt>
                <c:pt idx="153">
                  <c:v>45383</c:v>
                </c:pt>
                <c:pt idx="154">
                  <c:v>45413</c:v>
                </c:pt>
                <c:pt idx="155">
                  <c:v>45444</c:v>
                </c:pt>
                <c:pt idx="156">
                  <c:v>45474</c:v>
                </c:pt>
                <c:pt idx="157">
                  <c:v>45505</c:v>
                </c:pt>
                <c:pt idx="158">
                  <c:v>45536</c:v>
                </c:pt>
                <c:pt idx="159">
                  <c:v>45566</c:v>
                </c:pt>
                <c:pt idx="160">
                  <c:v>45597</c:v>
                </c:pt>
                <c:pt idx="161">
                  <c:v>45627</c:v>
                </c:pt>
                <c:pt idx="162">
                  <c:v>45658</c:v>
                </c:pt>
                <c:pt idx="163">
                  <c:v>45689</c:v>
                </c:pt>
                <c:pt idx="164">
                  <c:v>45717</c:v>
                </c:pt>
                <c:pt idx="165">
                  <c:v>45748</c:v>
                </c:pt>
                <c:pt idx="166">
                  <c:v>45778</c:v>
                </c:pt>
                <c:pt idx="167">
                  <c:v>45809</c:v>
                </c:pt>
                <c:pt idx="168">
                  <c:v>45839</c:v>
                </c:pt>
                <c:pt idx="169">
                  <c:v>45870</c:v>
                </c:pt>
                <c:pt idx="170">
                  <c:v>45901</c:v>
                </c:pt>
                <c:pt idx="171">
                  <c:v>45931</c:v>
                </c:pt>
                <c:pt idx="172">
                  <c:v>45962</c:v>
                </c:pt>
                <c:pt idx="173">
                  <c:v>45992</c:v>
                </c:pt>
              </c:numCache>
            </c:numRef>
          </c:cat>
          <c:val>
            <c:numRef>
              <c:f>'Q1 SMA'!$B$8:$B$181</c:f>
              <c:numCache>
                <c:formatCode>General</c:formatCode>
                <c:ptCount val="174"/>
                <c:pt idx="0">
                  <c:v>526166118</c:v>
                </c:pt>
                <c:pt idx="1">
                  <c:v>520844989.30000001</c:v>
                </c:pt>
                <c:pt idx="2">
                  <c:v>484694267.89999998</c:v>
                </c:pt>
                <c:pt idx="3">
                  <c:v>494560586.5</c:v>
                </c:pt>
                <c:pt idx="4">
                  <c:v>481736591.5</c:v>
                </c:pt>
                <c:pt idx="5">
                  <c:v>465883225.39999998</c:v>
                </c:pt>
                <c:pt idx="6">
                  <c:v>689942417.10000002</c:v>
                </c:pt>
                <c:pt idx="7">
                  <c:v>644837026</c:v>
                </c:pt>
                <c:pt idx="8">
                  <c:v>721740438.60000002</c:v>
                </c:pt>
                <c:pt idx="9">
                  <c:v>840048569.70000005</c:v>
                </c:pt>
                <c:pt idx="10">
                  <c:v>906526843.5</c:v>
                </c:pt>
                <c:pt idx="11">
                  <c:v>943162982.5</c:v>
                </c:pt>
                <c:pt idx="12">
                  <c:v>947372879.70000005</c:v>
                </c:pt>
                <c:pt idx="13">
                  <c:v>969690342.79999995</c:v>
                </c:pt>
                <c:pt idx="14">
                  <c:v>955855309.39999998</c:v>
                </c:pt>
                <c:pt idx="15">
                  <c:v>909802011.20000005</c:v>
                </c:pt>
                <c:pt idx="16">
                  <c:v>860151481.89999998</c:v>
                </c:pt>
                <c:pt idx="17">
                  <c:v>859447165.10000002</c:v>
                </c:pt>
                <c:pt idx="18">
                  <c:v>925917386.20000005</c:v>
                </c:pt>
                <c:pt idx="19">
                  <c:v>761347210.5</c:v>
                </c:pt>
                <c:pt idx="20">
                  <c:v>839943452.60000002</c:v>
                </c:pt>
                <c:pt idx="21">
                  <c:v>865907095</c:v>
                </c:pt>
                <c:pt idx="22">
                  <c:v>900888985.5</c:v>
                </c:pt>
                <c:pt idx="23">
                  <c:v>947114792.79999995</c:v>
                </c:pt>
                <c:pt idx="24">
                  <c:v>884253253.89999998</c:v>
                </c:pt>
                <c:pt idx="25">
                  <c:v>959370275.39999998</c:v>
                </c:pt>
                <c:pt idx="26">
                  <c:v>953423947.39999998</c:v>
                </c:pt>
                <c:pt idx="27">
                  <c:v>845610436.70000005</c:v>
                </c:pt>
                <c:pt idx="28">
                  <c:v>871151610.39999998</c:v>
                </c:pt>
                <c:pt idx="29">
                  <c:v>910706403.20000005</c:v>
                </c:pt>
                <c:pt idx="30">
                  <c:v>918238567.29999995</c:v>
                </c:pt>
                <c:pt idx="31">
                  <c:v>751231030.10000002</c:v>
                </c:pt>
                <c:pt idx="32">
                  <c:v>877090455.20000005</c:v>
                </c:pt>
                <c:pt idx="33">
                  <c:v>911312078.79999995</c:v>
                </c:pt>
                <c:pt idx="34">
                  <c:v>977854756.89999998</c:v>
                </c:pt>
                <c:pt idx="35">
                  <c:v>969604267.20000005</c:v>
                </c:pt>
                <c:pt idx="36">
                  <c:v>1017547567</c:v>
                </c:pt>
                <c:pt idx="37">
                  <c:v>1027165762</c:v>
                </c:pt>
                <c:pt idx="38">
                  <c:v>1031279058</c:v>
                </c:pt>
                <c:pt idx="39">
                  <c:v>994093092.79999995</c:v>
                </c:pt>
                <c:pt idx="40">
                  <c:v>932364953.10000002</c:v>
                </c:pt>
                <c:pt idx="41">
                  <c:v>992656608.70000005</c:v>
                </c:pt>
                <c:pt idx="42">
                  <c:v>930726495.20000005</c:v>
                </c:pt>
                <c:pt idx="43">
                  <c:v>869749540.60000002</c:v>
                </c:pt>
                <c:pt idx="44">
                  <c:v>908891613.29999995</c:v>
                </c:pt>
                <c:pt idx="45">
                  <c:v>872724221</c:v>
                </c:pt>
                <c:pt idx="46">
                  <c:v>922912817</c:v>
                </c:pt>
                <c:pt idx="47">
                  <c:v>913545656.20000005</c:v>
                </c:pt>
                <c:pt idx="48">
                  <c:v>837831860.39999998</c:v>
                </c:pt>
                <c:pt idx="49">
                  <c:v>856752647.70000005</c:v>
                </c:pt>
                <c:pt idx="50">
                  <c:v>797657575.5</c:v>
                </c:pt>
                <c:pt idx="51">
                  <c:v>766819965.20000005</c:v>
                </c:pt>
                <c:pt idx="52">
                  <c:v>789902871.79999995</c:v>
                </c:pt>
                <c:pt idx="53">
                  <c:v>741903290.29999995</c:v>
                </c:pt>
                <c:pt idx="54">
                  <c:v>738471168.70000005</c:v>
                </c:pt>
                <c:pt idx="55">
                  <c:v>680116237.5</c:v>
                </c:pt>
                <c:pt idx="56">
                  <c:v>672472987.39999998</c:v>
                </c:pt>
                <c:pt idx="57">
                  <c:v>679662896</c:v>
                </c:pt>
                <c:pt idx="58">
                  <c:v>784832284.39999998</c:v>
                </c:pt>
                <c:pt idx="59">
                  <c:v>750613765.39999998</c:v>
                </c:pt>
                <c:pt idx="60">
                  <c:v>769075582.10000002</c:v>
                </c:pt>
                <c:pt idx="61">
                  <c:v>789686892.39999998</c:v>
                </c:pt>
                <c:pt idx="62">
                  <c:v>805169805.89999998</c:v>
                </c:pt>
                <c:pt idx="63">
                  <c:v>789304203.20000005</c:v>
                </c:pt>
                <c:pt idx="64">
                  <c:v>879431387.39999998</c:v>
                </c:pt>
                <c:pt idx="65">
                  <c:v>868808509.29999995</c:v>
                </c:pt>
                <c:pt idx="66">
                  <c:v>921410623.10000002</c:v>
                </c:pt>
                <c:pt idx="67">
                  <c:v>767363227.39999998</c:v>
                </c:pt>
                <c:pt idx="68">
                  <c:v>838521821.39999998</c:v>
                </c:pt>
                <c:pt idx="69">
                  <c:v>846177887.5</c:v>
                </c:pt>
                <c:pt idx="70">
                  <c:v>1010183347</c:v>
                </c:pt>
                <c:pt idx="71">
                  <c:v>969224748.10000002</c:v>
                </c:pt>
                <c:pt idx="72">
                  <c:v>1041600591</c:v>
                </c:pt>
                <c:pt idx="73">
                  <c:v>1047272941</c:v>
                </c:pt>
                <c:pt idx="74">
                  <c:v>986033698.20000005</c:v>
                </c:pt>
                <c:pt idx="75">
                  <c:v>936327803.29999995</c:v>
                </c:pt>
                <c:pt idx="76">
                  <c:v>933792029.20000005</c:v>
                </c:pt>
                <c:pt idx="77">
                  <c:v>950975052.5</c:v>
                </c:pt>
                <c:pt idx="78">
                  <c:v>989032370.89999998</c:v>
                </c:pt>
                <c:pt idx="79">
                  <c:v>937774259.60000002</c:v>
                </c:pt>
                <c:pt idx="80">
                  <c:v>894117880.60000002</c:v>
                </c:pt>
                <c:pt idx="81">
                  <c:v>931235048</c:v>
                </c:pt>
                <c:pt idx="82">
                  <c:v>1005124306</c:v>
                </c:pt>
                <c:pt idx="83">
                  <c:v>1031430918</c:v>
                </c:pt>
                <c:pt idx="84">
                  <c:v>1089106723</c:v>
                </c:pt>
                <c:pt idx="85">
                  <c:v>1098437144</c:v>
                </c:pt>
                <c:pt idx="86">
                  <c:v>1097405885</c:v>
                </c:pt>
                <c:pt idx="87">
                  <c:v>1085378948</c:v>
                </c:pt>
                <c:pt idx="88">
                  <c:v>1151726966</c:v>
                </c:pt>
                <c:pt idx="89">
                  <c:v>1191693765</c:v>
                </c:pt>
                <c:pt idx="90">
                  <c:v>1160576030</c:v>
                </c:pt>
                <c:pt idx="91">
                  <c:v>969629900.10000002</c:v>
                </c:pt>
                <c:pt idx="92">
                  <c:v>1048651003</c:v>
                </c:pt>
                <c:pt idx="93">
                  <c:v>1072985548</c:v>
                </c:pt>
                <c:pt idx="94">
                  <c:v>1130996192</c:v>
                </c:pt>
                <c:pt idx="95">
                  <c:v>1196575714</c:v>
                </c:pt>
                <c:pt idx="96">
                  <c:v>1162746019</c:v>
                </c:pt>
                <c:pt idx="97">
                  <c:v>1112398911</c:v>
                </c:pt>
                <c:pt idx="98">
                  <c:v>1121572378</c:v>
                </c:pt>
                <c:pt idx="99">
                  <c:v>1097809801</c:v>
                </c:pt>
                <c:pt idx="100">
                  <c:v>1120793497</c:v>
                </c:pt>
                <c:pt idx="101">
                  <c:v>1139698269</c:v>
                </c:pt>
                <c:pt idx="102">
                  <c:v>1241487968</c:v>
                </c:pt>
                <c:pt idx="103">
                  <c:v>915152860.10000002</c:v>
                </c:pt>
                <c:pt idx="104">
                  <c:v>1031178712</c:v>
                </c:pt>
                <c:pt idx="105">
                  <c:v>1005077969</c:v>
                </c:pt>
                <c:pt idx="106">
                  <c:v>983481490.10000002</c:v>
                </c:pt>
                <c:pt idx="107">
                  <c:v>1083944239</c:v>
                </c:pt>
                <c:pt idx="108">
                  <c:v>1197942563</c:v>
                </c:pt>
                <c:pt idx="109">
                  <c:v>1302785576</c:v>
                </c:pt>
                <c:pt idx="110">
                  <c:v>1361596240</c:v>
                </c:pt>
                <c:pt idx="111">
                  <c:v>1478464989</c:v>
                </c:pt>
                <c:pt idx="112">
                  <c:v>1515601165</c:v>
                </c:pt>
                <c:pt idx="113">
                  <c:v>1859082729</c:v>
                </c:pt>
                <c:pt idx="114">
                  <c:v>2195700749</c:v>
                </c:pt>
                <c:pt idx="115">
                  <c:v>2212407266</c:v>
                </c:pt>
                <c:pt idx="116">
                  <c:v>2326526933</c:v>
                </c:pt>
                <c:pt idx="117">
                  <c:v>2278603143</c:v>
                </c:pt>
                <c:pt idx="118">
                  <c:v>2638482576</c:v>
                </c:pt>
                <c:pt idx="119">
                  <c:v>2991786668</c:v>
                </c:pt>
                <c:pt idx="120">
                  <c:v>3415123138</c:v>
                </c:pt>
                <c:pt idx="121">
                  <c:v>3855049466</c:v>
                </c:pt>
                <c:pt idx="122">
                  <c:v>3897862783</c:v>
                </c:pt>
                <c:pt idx="123">
                  <c:v>3976051170</c:v>
                </c:pt>
                <c:pt idx="124">
                  <c:v>3897474585</c:v>
                </c:pt>
                <c:pt idx="125">
                  <c:v>3983456756</c:v>
                </c:pt>
                <c:pt idx="126">
                  <c:v>4514151564</c:v>
                </c:pt>
                <c:pt idx="127">
                  <c:v>4025509487</c:v>
                </c:pt>
                <c:pt idx="128">
                  <c:v>4248997961</c:v>
                </c:pt>
                <c:pt idx="129">
                  <c:v>4041802182</c:v>
                </c:pt>
                <c:pt idx="130">
                  <c:v>3967132108</c:v>
                </c:pt>
                <c:pt idx="131">
                  <c:v>4196674541</c:v>
                </c:pt>
                <c:pt idx="132">
                  <c:v>4133509174</c:v>
                </c:pt>
                <c:pt idx="133">
                  <c:v>3783663232</c:v>
                </c:pt>
                <c:pt idx="134">
                  <c:v>3098017092</c:v>
                </c:pt>
                <c:pt idx="135">
                  <c:v>2647099346</c:v>
                </c:pt>
                <c:pt idx="136">
                  <c:v>2183396256</c:v>
                </c:pt>
                <c:pt idx="137">
                  <c:v>1857201428</c:v>
                </c:pt>
                <c:pt idx="138">
                  <c:v>1591138738</c:v>
                </c:pt>
                <c:pt idx="139">
                  <c:v>1235971039</c:v>
                </c:pt>
                <c:pt idx="140">
                  <c:v>1425650479</c:v>
                </c:pt>
                <c:pt idx="141">
                  <c:v>1357942393</c:v>
                </c:pt>
                <c:pt idx="142">
                  <c:v>1388294072</c:v>
                </c:pt>
                <c:pt idx="143">
                  <c:v>1386000649</c:v>
                </c:pt>
                <c:pt idx="144">
                  <c:v>1381770599</c:v>
                </c:pt>
                <c:pt idx="145">
                  <c:v>1436576298</c:v>
                </c:pt>
                <c:pt idx="146">
                  <c:v>1402780189</c:v>
                </c:pt>
                <c:pt idx="147">
                  <c:v>1383704752</c:v>
                </c:pt>
                <c:pt idx="148">
                  <c:v>1348412522</c:v>
                </c:pt>
                <c:pt idx="149">
                  <c:v>1333721396</c:v>
                </c:pt>
                <c:pt idx="150">
                  <c:v>1611023862</c:v>
                </c:pt>
                <c:pt idx="151">
                  <c:v>1675307061</c:v>
                </c:pt>
                <c:pt idx="152">
                  <c:v>1747846324</c:v>
                </c:pt>
                <c:pt idx="153">
                  <c:v>1839732455</c:v>
                </c:pt>
                <c:pt idx="154">
                  <c:v>1956918811</c:v>
                </c:pt>
                <c:pt idx="155">
                  <c:v>2578214483</c:v>
                </c:pt>
                <c:pt idx="156">
                  <c:v>3061656202</c:v>
                </c:pt>
                <c:pt idx="157">
                  <c:v>3065907209</c:v>
                </c:pt>
                <c:pt idx="158">
                  <c:v>2540128221</c:v>
                </c:pt>
                <c:pt idx="159">
                  <c:v>2315091578</c:v>
                </c:pt>
                <c:pt idx="160">
                  <c:v>2070071746</c:v>
                </c:pt>
                <c:pt idx="161">
                  <c:v>2142035611</c:v>
                </c:pt>
                <c:pt idx="162">
                  <c:v>2266553000</c:v>
                </c:pt>
                <c:pt idx="163">
                  <c:v>1815909000</c:v>
                </c:pt>
                <c:pt idx="164">
                  <c:v>1774512000</c:v>
                </c:pt>
                <c:pt idx="165">
                  <c:v>1652499000</c:v>
                </c:pt>
                <c:pt idx="166">
                  <c:v>1653032000</c:v>
                </c:pt>
                <c:pt idx="167">
                  <c:v>1889049000</c:v>
                </c:pt>
                <c:pt idx="168">
                  <c:v>2098073000</c:v>
                </c:pt>
                <c:pt idx="169">
                  <c:v>1935223000</c:v>
                </c:pt>
                <c:pt idx="170">
                  <c:v>1773970000</c:v>
                </c:pt>
                <c:pt idx="171">
                  <c:v>1610179000</c:v>
                </c:pt>
                <c:pt idx="172">
                  <c:v>1643934000</c:v>
                </c:pt>
                <c:pt idx="173">
                  <c:v>1856222000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F3-4D93-9FD5-5ACE05B1D915}"/>
            </c:ext>
          </c:extLst>
        </c:ser>
        <c:ser>
          <c:idx val="1"/>
          <c:order val="1"/>
          <c:tx>
            <c:strRef>
              <c:f>'Q1 SMA'!$C$1</c:f>
              <c:strCache>
                <c:ptCount val="1"/>
                <c:pt idx="0">
                  <c:v>SMA(3)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delete val="1"/>
          </c:dLbls>
          <c:cat>
            <c:numRef>
              <c:f>'Q1 SMA'!$A$8:$A$181</c:f>
              <c:numCache>
                <c:formatCode>m/d/yyyy</c:formatCode>
                <c:ptCount val="174"/>
                <c:pt idx="0">
                  <c:v>40725</c:v>
                </c:pt>
                <c:pt idx="1">
                  <c:v>40756</c:v>
                </c:pt>
                <c:pt idx="2">
                  <c:v>40787</c:v>
                </c:pt>
                <c:pt idx="3">
                  <c:v>40817</c:v>
                </c:pt>
                <c:pt idx="4">
                  <c:v>40848</c:v>
                </c:pt>
                <c:pt idx="5">
                  <c:v>40878</c:v>
                </c:pt>
                <c:pt idx="6">
                  <c:v>40909</c:v>
                </c:pt>
                <c:pt idx="7">
                  <c:v>40940</c:v>
                </c:pt>
                <c:pt idx="8">
                  <c:v>40969</c:v>
                </c:pt>
                <c:pt idx="9">
                  <c:v>41000</c:v>
                </c:pt>
                <c:pt idx="10">
                  <c:v>41030</c:v>
                </c:pt>
                <c:pt idx="11">
                  <c:v>41061</c:v>
                </c:pt>
                <c:pt idx="12">
                  <c:v>41091</c:v>
                </c:pt>
                <c:pt idx="13">
                  <c:v>41122</c:v>
                </c:pt>
                <c:pt idx="14">
                  <c:v>41153</c:v>
                </c:pt>
                <c:pt idx="15">
                  <c:v>41183</c:v>
                </c:pt>
                <c:pt idx="16">
                  <c:v>41214</c:v>
                </c:pt>
                <c:pt idx="17">
                  <c:v>41244</c:v>
                </c:pt>
                <c:pt idx="18">
                  <c:v>41275</c:v>
                </c:pt>
                <c:pt idx="19">
                  <c:v>41306</c:v>
                </c:pt>
                <c:pt idx="20">
                  <c:v>41334</c:v>
                </c:pt>
                <c:pt idx="21">
                  <c:v>41365</c:v>
                </c:pt>
                <c:pt idx="22">
                  <c:v>41395</c:v>
                </c:pt>
                <c:pt idx="23">
                  <c:v>41426</c:v>
                </c:pt>
                <c:pt idx="24">
                  <c:v>41456</c:v>
                </c:pt>
                <c:pt idx="25">
                  <c:v>41487</c:v>
                </c:pt>
                <c:pt idx="26">
                  <c:v>41518</c:v>
                </c:pt>
                <c:pt idx="27">
                  <c:v>41548</c:v>
                </c:pt>
                <c:pt idx="28">
                  <c:v>41579</c:v>
                </c:pt>
                <c:pt idx="29">
                  <c:v>41609</c:v>
                </c:pt>
                <c:pt idx="30">
                  <c:v>41640</c:v>
                </c:pt>
                <c:pt idx="31">
                  <c:v>41671</c:v>
                </c:pt>
                <c:pt idx="32">
                  <c:v>41699</c:v>
                </c:pt>
                <c:pt idx="33">
                  <c:v>41730</c:v>
                </c:pt>
                <c:pt idx="34">
                  <c:v>41760</c:v>
                </c:pt>
                <c:pt idx="35">
                  <c:v>41791</c:v>
                </c:pt>
                <c:pt idx="36">
                  <c:v>41821</c:v>
                </c:pt>
                <c:pt idx="37">
                  <c:v>41852</c:v>
                </c:pt>
                <c:pt idx="38">
                  <c:v>41883</c:v>
                </c:pt>
                <c:pt idx="39">
                  <c:v>41913</c:v>
                </c:pt>
                <c:pt idx="40">
                  <c:v>41944</c:v>
                </c:pt>
                <c:pt idx="41">
                  <c:v>41974</c:v>
                </c:pt>
                <c:pt idx="42">
                  <c:v>42005</c:v>
                </c:pt>
                <c:pt idx="43">
                  <c:v>42036</c:v>
                </c:pt>
                <c:pt idx="44">
                  <c:v>42064</c:v>
                </c:pt>
                <c:pt idx="45">
                  <c:v>42095</c:v>
                </c:pt>
                <c:pt idx="46">
                  <c:v>42125</c:v>
                </c:pt>
                <c:pt idx="47">
                  <c:v>42156</c:v>
                </c:pt>
                <c:pt idx="48">
                  <c:v>42186</c:v>
                </c:pt>
                <c:pt idx="49">
                  <c:v>42217</c:v>
                </c:pt>
                <c:pt idx="50">
                  <c:v>42248</c:v>
                </c:pt>
                <c:pt idx="51">
                  <c:v>42278</c:v>
                </c:pt>
                <c:pt idx="52">
                  <c:v>42309</c:v>
                </c:pt>
                <c:pt idx="53">
                  <c:v>42339</c:v>
                </c:pt>
                <c:pt idx="54">
                  <c:v>42370</c:v>
                </c:pt>
                <c:pt idx="55">
                  <c:v>42401</c:v>
                </c:pt>
                <c:pt idx="56">
                  <c:v>42430</c:v>
                </c:pt>
                <c:pt idx="57">
                  <c:v>42461</c:v>
                </c:pt>
                <c:pt idx="58">
                  <c:v>42491</c:v>
                </c:pt>
                <c:pt idx="59">
                  <c:v>42522</c:v>
                </c:pt>
                <c:pt idx="60">
                  <c:v>42552</c:v>
                </c:pt>
                <c:pt idx="61">
                  <c:v>42583</c:v>
                </c:pt>
                <c:pt idx="62">
                  <c:v>42614</c:v>
                </c:pt>
                <c:pt idx="63">
                  <c:v>42644</c:v>
                </c:pt>
                <c:pt idx="64">
                  <c:v>42675</c:v>
                </c:pt>
                <c:pt idx="65">
                  <c:v>42705</c:v>
                </c:pt>
                <c:pt idx="66">
                  <c:v>42736</c:v>
                </c:pt>
                <c:pt idx="67">
                  <c:v>42767</c:v>
                </c:pt>
                <c:pt idx="68">
                  <c:v>42795</c:v>
                </c:pt>
                <c:pt idx="69">
                  <c:v>42826</c:v>
                </c:pt>
                <c:pt idx="70">
                  <c:v>42856</c:v>
                </c:pt>
                <c:pt idx="71">
                  <c:v>42887</c:v>
                </c:pt>
                <c:pt idx="72">
                  <c:v>42917</c:v>
                </c:pt>
                <c:pt idx="73">
                  <c:v>42948</c:v>
                </c:pt>
                <c:pt idx="74">
                  <c:v>42979</c:v>
                </c:pt>
                <c:pt idx="75">
                  <c:v>43009</c:v>
                </c:pt>
                <c:pt idx="76">
                  <c:v>43040</c:v>
                </c:pt>
                <c:pt idx="77">
                  <c:v>43070</c:v>
                </c:pt>
                <c:pt idx="78">
                  <c:v>43101</c:v>
                </c:pt>
                <c:pt idx="79">
                  <c:v>43132</c:v>
                </c:pt>
                <c:pt idx="80">
                  <c:v>43160</c:v>
                </c:pt>
                <c:pt idx="81">
                  <c:v>43191</c:v>
                </c:pt>
                <c:pt idx="82">
                  <c:v>43221</c:v>
                </c:pt>
                <c:pt idx="83">
                  <c:v>43252</c:v>
                </c:pt>
                <c:pt idx="84">
                  <c:v>43282</c:v>
                </c:pt>
                <c:pt idx="85">
                  <c:v>43313</c:v>
                </c:pt>
                <c:pt idx="86">
                  <c:v>43344</c:v>
                </c:pt>
                <c:pt idx="87">
                  <c:v>43374</c:v>
                </c:pt>
                <c:pt idx="88">
                  <c:v>43405</c:v>
                </c:pt>
                <c:pt idx="89">
                  <c:v>43435</c:v>
                </c:pt>
                <c:pt idx="90">
                  <c:v>43466</c:v>
                </c:pt>
                <c:pt idx="91">
                  <c:v>43497</c:v>
                </c:pt>
                <c:pt idx="92">
                  <c:v>43525</c:v>
                </c:pt>
                <c:pt idx="93">
                  <c:v>43556</c:v>
                </c:pt>
                <c:pt idx="94">
                  <c:v>43586</c:v>
                </c:pt>
                <c:pt idx="95">
                  <c:v>43617</c:v>
                </c:pt>
                <c:pt idx="96">
                  <c:v>43647</c:v>
                </c:pt>
                <c:pt idx="97">
                  <c:v>43678</c:v>
                </c:pt>
                <c:pt idx="98">
                  <c:v>43709</c:v>
                </c:pt>
                <c:pt idx="99">
                  <c:v>43739</c:v>
                </c:pt>
                <c:pt idx="100">
                  <c:v>43770</c:v>
                </c:pt>
                <c:pt idx="101">
                  <c:v>43800</c:v>
                </c:pt>
                <c:pt idx="102">
                  <c:v>43831</c:v>
                </c:pt>
                <c:pt idx="103">
                  <c:v>43862</c:v>
                </c:pt>
                <c:pt idx="104">
                  <c:v>43891</c:v>
                </c:pt>
                <c:pt idx="105">
                  <c:v>43922</c:v>
                </c:pt>
                <c:pt idx="106">
                  <c:v>43952</c:v>
                </c:pt>
                <c:pt idx="107">
                  <c:v>43983</c:v>
                </c:pt>
                <c:pt idx="108">
                  <c:v>44013</c:v>
                </c:pt>
                <c:pt idx="109">
                  <c:v>44044</c:v>
                </c:pt>
                <c:pt idx="110">
                  <c:v>44075</c:v>
                </c:pt>
                <c:pt idx="111">
                  <c:v>44105</c:v>
                </c:pt>
                <c:pt idx="112">
                  <c:v>44136</c:v>
                </c:pt>
                <c:pt idx="113">
                  <c:v>44166</c:v>
                </c:pt>
                <c:pt idx="114">
                  <c:v>44197</c:v>
                </c:pt>
                <c:pt idx="115">
                  <c:v>44228</c:v>
                </c:pt>
                <c:pt idx="116">
                  <c:v>44256</c:v>
                </c:pt>
                <c:pt idx="117">
                  <c:v>44287</c:v>
                </c:pt>
                <c:pt idx="118">
                  <c:v>44317</c:v>
                </c:pt>
                <c:pt idx="119">
                  <c:v>44348</c:v>
                </c:pt>
                <c:pt idx="120">
                  <c:v>44378</c:v>
                </c:pt>
                <c:pt idx="121">
                  <c:v>44409</c:v>
                </c:pt>
                <c:pt idx="122">
                  <c:v>44440</c:v>
                </c:pt>
                <c:pt idx="123">
                  <c:v>44470</c:v>
                </c:pt>
                <c:pt idx="124">
                  <c:v>44501</c:v>
                </c:pt>
                <c:pt idx="125">
                  <c:v>44531</c:v>
                </c:pt>
                <c:pt idx="126">
                  <c:v>44562</c:v>
                </c:pt>
                <c:pt idx="127">
                  <c:v>44593</c:v>
                </c:pt>
                <c:pt idx="128">
                  <c:v>44621</c:v>
                </c:pt>
                <c:pt idx="129">
                  <c:v>44652</c:v>
                </c:pt>
                <c:pt idx="130">
                  <c:v>44682</c:v>
                </c:pt>
                <c:pt idx="131">
                  <c:v>44713</c:v>
                </c:pt>
                <c:pt idx="132">
                  <c:v>44743</c:v>
                </c:pt>
                <c:pt idx="133">
                  <c:v>44774</c:v>
                </c:pt>
                <c:pt idx="134">
                  <c:v>44805</c:v>
                </c:pt>
                <c:pt idx="135">
                  <c:v>44835</c:v>
                </c:pt>
                <c:pt idx="136">
                  <c:v>44866</c:v>
                </c:pt>
                <c:pt idx="137">
                  <c:v>44896</c:v>
                </c:pt>
                <c:pt idx="138">
                  <c:v>44927</c:v>
                </c:pt>
                <c:pt idx="139">
                  <c:v>44958</c:v>
                </c:pt>
                <c:pt idx="140">
                  <c:v>44986</c:v>
                </c:pt>
                <c:pt idx="141">
                  <c:v>45017</c:v>
                </c:pt>
                <c:pt idx="142">
                  <c:v>45047</c:v>
                </c:pt>
                <c:pt idx="143">
                  <c:v>45078</c:v>
                </c:pt>
                <c:pt idx="144">
                  <c:v>45108</c:v>
                </c:pt>
                <c:pt idx="145">
                  <c:v>45139</c:v>
                </c:pt>
                <c:pt idx="146">
                  <c:v>45170</c:v>
                </c:pt>
                <c:pt idx="147">
                  <c:v>45200</c:v>
                </c:pt>
                <c:pt idx="148">
                  <c:v>45231</c:v>
                </c:pt>
                <c:pt idx="149">
                  <c:v>45261</c:v>
                </c:pt>
                <c:pt idx="150">
                  <c:v>45292</c:v>
                </c:pt>
                <c:pt idx="151">
                  <c:v>45323</c:v>
                </c:pt>
                <c:pt idx="152">
                  <c:v>45352</c:v>
                </c:pt>
                <c:pt idx="153">
                  <c:v>45383</c:v>
                </c:pt>
                <c:pt idx="154">
                  <c:v>45413</c:v>
                </c:pt>
                <c:pt idx="155">
                  <c:v>45444</c:v>
                </c:pt>
                <c:pt idx="156">
                  <c:v>45474</c:v>
                </c:pt>
                <c:pt idx="157">
                  <c:v>45505</c:v>
                </c:pt>
                <c:pt idx="158">
                  <c:v>45536</c:v>
                </c:pt>
                <c:pt idx="159">
                  <c:v>45566</c:v>
                </c:pt>
                <c:pt idx="160">
                  <c:v>45597</c:v>
                </c:pt>
                <c:pt idx="161">
                  <c:v>45627</c:v>
                </c:pt>
                <c:pt idx="162">
                  <c:v>45658</c:v>
                </c:pt>
                <c:pt idx="163">
                  <c:v>45689</c:v>
                </c:pt>
                <c:pt idx="164">
                  <c:v>45717</c:v>
                </c:pt>
                <c:pt idx="165">
                  <c:v>45748</c:v>
                </c:pt>
                <c:pt idx="166">
                  <c:v>45778</c:v>
                </c:pt>
                <c:pt idx="167">
                  <c:v>45809</c:v>
                </c:pt>
                <c:pt idx="168">
                  <c:v>45839</c:v>
                </c:pt>
                <c:pt idx="169">
                  <c:v>45870</c:v>
                </c:pt>
                <c:pt idx="170">
                  <c:v>45901</c:v>
                </c:pt>
                <c:pt idx="171">
                  <c:v>45931</c:v>
                </c:pt>
                <c:pt idx="172">
                  <c:v>45962</c:v>
                </c:pt>
                <c:pt idx="173">
                  <c:v>45992</c:v>
                </c:pt>
              </c:numCache>
            </c:numRef>
          </c:cat>
          <c:val>
            <c:numRef>
              <c:f>'Q1 SMA'!$C$8:$C$181</c:f>
              <c:numCache>
                <c:formatCode>General</c:formatCode>
                <c:ptCount val="174"/>
                <c:pt idx="0">
                  <c:v>524720318.33333331</c:v>
                </c:pt>
                <c:pt idx="1">
                  <c:v>526223965.66666669</c:v>
                </c:pt>
                <c:pt idx="2">
                  <c:v>525882135.56666666</c:v>
                </c:pt>
                <c:pt idx="3">
                  <c:v>510568458.39999992</c:v>
                </c:pt>
                <c:pt idx="4">
                  <c:v>500033281.23333335</c:v>
                </c:pt>
                <c:pt idx="5">
                  <c:v>486997148.63333338</c:v>
                </c:pt>
                <c:pt idx="6">
                  <c:v>480726801.13333338</c:v>
                </c:pt>
                <c:pt idx="7">
                  <c:v>545854078</c:v>
                </c:pt>
                <c:pt idx="8">
                  <c:v>600220889.5</c:v>
                </c:pt>
                <c:pt idx="9">
                  <c:v>685506627.23333323</c:v>
                </c:pt>
                <c:pt idx="10">
                  <c:v>735542011.4333334</c:v>
                </c:pt>
                <c:pt idx="11">
                  <c:v>822771950.60000002</c:v>
                </c:pt>
                <c:pt idx="12">
                  <c:v>896579465.23333323</c:v>
                </c:pt>
                <c:pt idx="13">
                  <c:v>932354235.23333323</c:v>
                </c:pt>
                <c:pt idx="14">
                  <c:v>953408735</c:v>
                </c:pt>
                <c:pt idx="15">
                  <c:v>957639510.63333333</c:v>
                </c:pt>
                <c:pt idx="16">
                  <c:v>945115887.79999983</c:v>
                </c:pt>
                <c:pt idx="17">
                  <c:v>908602934.16666663</c:v>
                </c:pt>
                <c:pt idx="18">
                  <c:v>876466886.0666666</c:v>
                </c:pt>
                <c:pt idx="19">
                  <c:v>881838677.73333323</c:v>
                </c:pt>
                <c:pt idx="20">
                  <c:v>848903920.60000002</c:v>
                </c:pt>
                <c:pt idx="21">
                  <c:v>842402683.10000002</c:v>
                </c:pt>
                <c:pt idx="22">
                  <c:v>822399252.69999993</c:v>
                </c:pt>
                <c:pt idx="23">
                  <c:v>868913177.69999993</c:v>
                </c:pt>
                <c:pt idx="24">
                  <c:v>904636957.76666677</c:v>
                </c:pt>
                <c:pt idx="25">
                  <c:v>910752344.0666666</c:v>
                </c:pt>
                <c:pt idx="26">
                  <c:v>930246107.36666667</c:v>
                </c:pt>
                <c:pt idx="27">
                  <c:v>932349158.89999998</c:v>
                </c:pt>
                <c:pt idx="28">
                  <c:v>919468219.83333337</c:v>
                </c:pt>
                <c:pt idx="29">
                  <c:v>890061998.16666663</c:v>
                </c:pt>
                <c:pt idx="30">
                  <c:v>875822816.76666677</c:v>
                </c:pt>
                <c:pt idx="31">
                  <c:v>900032193.63333321</c:v>
                </c:pt>
                <c:pt idx="32">
                  <c:v>860058666.86666667</c:v>
                </c:pt>
                <c:pt idx="33">
                  <c:v>848853350.86666679</c:v>
                </c:pt>
                <c:pt idx="34">
                  <c:v>846544521.36666679</c:v>
                </c:pt>
                <c:pt idx="35">
                  <c:v>922085763.63333333</c:v>
                </c:pt>
                <c:pt idx="36">
                  <c:v>952923700.96666658</c:v>
                </c:pt>
                <c:pt idx="37">
                  <c:v>988335530.36666667</c:v>
                </c:pt>
                <c:pt idx="38">
                  <c:v>1004772532.0666666</c:v>
                </c:pt>
                <c:pt idx="39">
                  <c:v>1025330795.6666666</c:v>
                </c:pt>
                <c:pt idx="40">
                  <c:v>1017512637.6</c:v>
                </c:pt>
                <c:pt idx="41">
                  <c:v>985912367.9666667</c:v>
                </c:pt>
                <c:pt idx="42">
                  <c:v>973038218.20000017</c:v>
                </c:pt>
                <c:pt idx="43">
                  <c:v>951916019</c:v>
                </c:pt>
                <c:pt idx="44">
                  <c:v>931044214.83333337</c:v>
                </c:pt>
                <c:pt idx="45">
                  <c:v>903122549.70000017</c:v>
                </c:pt>
                <c:pt idx="46">
                  <c:v>883788458.30000007</c:v>
                </c:pt>
                <c:pt idx="47">
                  <c:v>901509550.4333334</c:v>
                </c:pt>
                <c:pt idx="48">
                  <c:v>903060898.0666666</c:v>
                </c:pt>
                <c:pt idx="49">
                  <c:v>891430111.19999993</c:v>
                </c:pt>
                <c:pt idx="50">
                  <c:v>869376721.4333334</c:v>
                </c:pt>
                <c:pt idx="51">
                  <c:v>830747361.19999993</c:v>
                </c:pt>
                <c:pt idx="52">
                  <c:v>807076729.4666667</c:v>
                </c:pt>
                <c:pt idx="53">
                  <c:v>784793470.83333337</c:v>
                </c:pt>
                <c:pt idx="54">
                  <c:v>766208709.10000002</c:v>
                </c:pt>
                <c:pt idx="55">
                  <c:v>756759110.26666677</c:v>
                </c:pt>
                <c:pt idx="56">
                  <c:v>720163565.5</c:v>
                </c:pt>
                <c:pt idx="57">
                  <c:v>697020131.19999993</c:v>
                </c:pt>
                <c:pt idx="58">
                  <c:v>677417373.63333333</c:v>
                </c:pt>
                <c:pt idx="59">
                  <c:v>712322722.60000002</c:v>
                </c:pt>
                <c:pt idx="60">
                  <c:v>738369648.60000002</c:v>
                </c:pt>
                <c:pt idx="61">
                  <c:v>768173877.30000007</c:v>
                </c:pt>
                <c:pt idx="62">
                  <c:v>769792079.9666667</c:v>
                </c:pt>
                <c:pt idx="63">
                  <c:v>787977426.80000007</c:v>
                </c:pt>
                <c:pt idx="64">
                  <c:v>794720300.5</c:v>
                </c:pt>
                <c:pt idx="65">
                  <c:v>824635132.16666663</c:v>
                </c:pt>
                <c:pt idx="66">
                  <c:v>845848033.29999983</c:v>
                </c:pt>
                <c:pt idx="67">
                  <c:v>889883506.5999999</c:v>
                </c:pt>
                <c:pt idx="68">
                  <c:v>852527453.26666677</c:v>
                </c:pt>
                <c:pt idx="69">
                  <c:v>842431890.63333333</c:v>
                </c:pt>
                <c:pt idx="70">
                  <c:v>817354312.10000002</c:v>
                </c:pt>
                <c:pt idx="71">
                  <c:v>898294351.9666667</c:v>
                </c:pt>
                <c:pt idx="72">
                  <c:v>941861994.19999993</c:v>
                </c:pt>
                <c:pt idx="73">
                  <c:v>1007002895.3666667</c:v>
                </c:pt>
                <c:pt idx="74">
                  <c:v>1019366093.3666667</c:v>
                </c:pt>
                <c:pt idx="75">
                  <c:v>1024969076.7333332</c:v>
                </c:pt>
                <c:pt idx="76">
                  <c:v>989878147.5</c:v>
                </c:pt>
                <c:pt idx="77">
                  <c:v>952051176.89999998</c:v>
                </c:pt>
                <c:pt idx="78">
                  <c:v>940364961.66666663</c:v>
                </c:pt>
                <c:pt idx="79">
                  <c:v>957933150.86666667</c:v>
                </c:pt>
                <c:pt idx="80">
                  <c:v>959260561</c:v>
                </c:pt>
                <c:pt idx="81">
                  <c:v>940308170.36666667</c:v>
                </c:pt>
                <c:pt idx="82">
                  <c:v>921042396.0666666</c:v>
                </c:pt>
                <c:pt idx="83">
                  <c:v>943492411.5333333</c:v>
                </c:pt>
                <c:pt idx="84">
                  <c:v>989263424</c:v>
                </c:pt>
                <c:pt idx="85">
                  <c:v>1041887315.6666666</c:v>
                </c:pt>
                <c:pt idx="86">
                  <c:v>1072991595</c:v>
                </c:pt>
                <c:pt idx="87">
                  <c:v>1094983250.6666667</c:v>
                </c:pt>
                <c:pt idx="88">
                  <c:v>1093740659</c:v>
                </c:pt>
                <c:pt idx="89">
                  <c:v>1111503933</c:v>
                </c:pt>
                <c:pt idx="90">
                  <c:v>1142933226.3333333</c:v>
                </c:pt>
                <c:pt idx="91">
                  <c:v>1167998920.3333333</c:v>
                </c:pt>
                <c:pt idx="92">
                  <c:v>1107299898.3666666</c:v>
                </c:pt>
                <c:pt idx="93">
                  <c:v>1059618977.6999999</c:v>
                </c:pt>
                <c:pt idx="94">
                  <c:v>1030422150.3666667</c:v>
                </c:pt>
                <c:pt idx="95">
                  <c:v>1084210914.3333333</c:v>
                </c:pt>
                <c:pt idx="96">
                  <c:v>1133519151.3333333</c:v>
                </c:pt>
                <c:pt idx="97">
                  <c:v>1163439308.3333333</c:v>
                </c:pt>
                <c:pt idx="98">
                  <c:v>1157240214.6666667</c:v>
                </c:pt>
                <c:pt idx="99">
                  <c:v>1132239102.6666667</c:v>
                </c:pt>
                <c:pt idx="100">
                  <c:v>1110593696.6666667</c:v>
                </c:pt>
                <c:pt idx="101">
                  <c:v>1113391892</c:v>
                </c:pt>
                <c:pt idx="102">
                  <c:v>1119433855.6666667</c:v>
                </c:pt>
                <c:pt idx="103">
                  <c:v>1167326578</c:v>
                </c:pt>
                <c:pt idx="104">
                  <c:v>1098779699.0333333</c:v>
                </c:pt>
                <c:pt idx="105">
                  <c:v>1062606513.3666667</c:v>
                </c:pt>
                <c:pt idx="106">
                  <c:v>983803180.36666667</c:v>
                </c:pt>
                <c:pt idx="107">
                  <c:v>1006579390.3666667</c:v>
                </c:pt>
                <c:pt idx="108">
                  <c:v>1024167899.3666667</c:v>
                </c:pt>
                <c:pt idx="109">
                  <c:v>1088456097.3666666</c:v>
                </c:pt>
                <c:pt idx="110">
                  <c:v>1194890792.6666667</c:v>
                </c:pt>
                <c:pt idx="111">
                  <c:v>1287441459.6666667</c:v>
                </c:pt>
                <c:pt idx="112">
                  <c:v>1380948935</c:v>
                </c:pt>
                <c:pt idx="113">
                  <c:v>1451887464.6666667</c:v>
                </c:pt>
                <c:pt idx="114">
                  <c:v>1617716294.3333333</c:v>
                </c:pt>
                <c:pt idx="115">
                  <c:v>1856794881</c:v>
                </c:pt>
                <c:pt idx="116">
                  <c:v>2089063581.3333333</c:v>
                </c:pt>
                <c:pt idx="117">
                  <c:v>2244878316</c:v>
                </c:pt>
                <c:pt idx="118">
                  <c:v>2272512447.3333335</c:v>
                </c:pt>
                <c:pt idx="119">
                  <c:v>2414537550.6666665</c:v>
                </c:pt>
                <c:pt idx="120">
                  <c:v>2636290795.6666665</c:v>
                </c:pt>
                <c:pt idx="121">
                  <c:v>3015130794</c:v>
                </c:pt>
                <c:pt idx="122">
                  <c:v>3420653090.6666665</c:v>
                </c:pt>
                <c:pt idx="123">
                  <c:v>3722678462.3333335</c:v>
                </c:pt>
                <c:pt idx="124">
                  <c:v>3909654473</c:v>
                </c:pt>
                <c:pt idx="125">
                  <c:v>3923796179.3333335</c:v>
                </c:pt>
                <c:pt idx="126">
                  <c:v>3952327503.6666665</c:v>
                </c:pt>
                <c:pt idx="127">
                  <c:v>4131694301.6666665</c:v>
                </c:pt>
                <c:pt idx="128">
                  <c:v>4174372602.3333335</c:v>
                </c:pt>
                <c:pt idx="129">
                  <c:v>4262886337.3333335</c:v>
                </c:pt>
                <c:pt idx="130">
                  <c:v>4105436543.3333335</c:v>
                </c:pt>
                <c:pt idx="131">
                  <c:v>4085977417</c:v>
                </c:pt>
                <c:pt idx="132">
                  <c:v>4068536277</c:v>
                </c:pt>
                <c:pt idx="133">
                  <c:v>4099105274.3333335</c:v>
                </c:pt>
                <c:pt idx="134">
                  <c:v>4037948982.3333335</c:v>
                </c:pt>
                <c:pt idx="135">
                  <c:v>3671729832.6666665</c:v>
                </c:pt>
                <c:pt idx="136">
                  <c:v>3176259890</c:v>
                </c:pt>
                <c:pt idx="137">
                  <c:v>2642837564.6666665</c:v>
                </c:pt>
                <c:pt idx="138">
                  <c:v>2229232343.3333335</c:v>
                </c:pt>
                <c:pt idx="139">
                  <c:v>1877245474</c:v>
                </c:pt>
                <c:pt idx="140">
                  <c:v>1561437068.3333333</c:v>
                </c:pt>
                <c:pt idx="141">
                  <c:v>1417586752</c:v>
                </c:pt>
                <c:pt idx="142">
                  <c:v>1339854637</c:v>
                </c:pt>
                <c:pt idx="143">
                  <c:v>1390628981.3333333</c:v>
                </c:pt>
                <c:pt idx="144">
                  <c:v>1377412371.3333333</c:v>
                </c:pt>
                <c:pt idx="145">
                  <c:v>1385355106.6666667</c:v>
                </c:pt>
                <c:pt idx="146">
                  <c:v>1401449182</c:v>
                </c:pt>
                <c:pt idx="147">
                  <c:v>1407042362</c:v>
                </c:pt>
                <c:pt idx="148">
                  <c:v>1407687079.6666667</c:v>
                </c:pt>
                <c:pt idx="149">
                  <c:v>1378299154.3333333</c:v>
                </c:pt>
                <c:pt idx="150">
                  <c:v>1355279556.6666667</c:v>
                </c:pt>
                <c:pt idx="151">
                  <c:v>1431052593.3333333</c:v>
                </c:pt>
                <c:pt idx="152">
                  <c:v>1540017439.6666667</c:v>
                </c:pt>
                <c:pt idx="153">
                  <c:v>1678059082.3333333</c:v>
                </c:pt>
                <c:pt idx="154">
                  <c:v>1754295280</c:v>
                </c:pt>
                <c:pt idx="155">
                  <c:v>1848165863.3333333</c:v>
                </c:pt>
                <c:pt idx="156">
                  <c:v>2124955249.6666667</c:v>
                </c:pt>
                <c:pt idx="157">
                  <c:v>2532263165.3333335</c:v>
                </c:pt>
                <c:pt idx="158">
                  <c:v>2901925964.6666665</c:v>
                </c:pt>
                <c:pt idx="159">
                  <c:v>2889230544</c:v>
                </c:pt>
                <c:pt idx="160">
                  <c:v>2640375669.3333335</c:v>
                </c:pt>
                <c:pt idx="161">
                  <c:v>2308430515</c:v>
                </c:pt>
                <c:pt idx="162">
                  <c:v>2175732978.3333335</c:v>
                </c:pt>
                <c:pt idx="163">
                  <c:v>2159553452.3333335</c:v>
                </c:pt>
                <c:pt idx="164">
                  <c:v>2074832537</c:v>
                </c:pt>
                <c:pt idx="165">
                  <c:v>1952324666.6666667</c:v>
                </c:pt>
                <c:pt idx="166">
                  <c:v>1747640000</c:v>
                </c:pt>
                <c:pt idx="167">
                  <c:v>1693347666.6666667</c:v>
                </c:pt>
                <c:pt idx="168">
                  <c:v>1731526666.6666667</c:v>
                </c:pt>
                <c:pt idx="169">
                  <c:v>1880051333.3333333</c:v>
                </c:pt>
                <c:pt idx="170">
                  <c:v>1974115000</c:v>
                </c:pt>
                <c:pt idx="171">
                  <c:v>1935755333.3333333</c:v>
                </c:pt>
                <c:pt idx="172">
                  <c:v>1773124000</c:v>
                </c:pt>
                <c:pt idx="173">
                  <c:v>1676027666.6666667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F3-4D93-9FD5-5ACE05B1D915}"/>
            </c:ext>
          </c:extLst>
        </c:ser>
        <c:ser>
          <c:idx val="2"/>
          <c:order val="2"/>
          <c:tx>
            <c:strRef>
              <c:f>'Q1 SMA'!$D$1</c:f>
              <c:strCache>
                <c:ptCount val="1"/>
                <c:pt idx="0">
                  <c:v>SMA(6)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dLbls>
            <c:delete val="1"/>
          </c:dLbls>
          <c:cat>
            <c:numRef>
              <c:f>'Q1 SMA'!$A$8:$A$181</c:f>
              <c:numCache>
                <c:formatCode>m/d/yyyy</c:formatCode>
                <c:ptCount val="174"/>
                <c:pt idx="0">
                  <c:v>40725</c:v>
                </c:pt>
                <c:pt idx="1">
                  <c:v>40756</c:v>
                </c:pt>
                <c:pt idx="2">
                  <c:v>40787</c:v>
                </c:pt>
                <c:pt idx="3">
                  <c:v>40817</c:v>
                </c:pt>
                <c:pt idx="4">
                  <c:v>40848</c:v>
                </c:pt>
                <c:pt idx="5">
                  <c:v>40878</c:v>
                </c:pt>
                <c:pt idx="6">
                  <c:v>40909</c:v>
                </c:pt>
                <c:pt idx="7">
                  <c:v>40940</c:v>
                </c:pt>
                <c:pt idx="8">
                  <c:v>40969</c:v>
                </c:pt>
                <c:pt idx="9">
                  <c:v>41000</c:v>
                </c:pt>
                <c:pt idx="10">
                  <c:v>41030</c:v>
                </c:pt>
                <c:pt idx="11">
                  <c:v>41061</c:v>
                </c:pt>
                <c:pt idx="12">
                  <c:v>41091</c:v>
                </c:pt>
                <c:pt idx="13">
                  <c:v>41122</c:v>
                </c:pt>
                <c:pt idx="14">
                  <c:v>41153</c:v>
                </c:pt>
                <c:pt idx="15">
                  <c:v>41183</c:v>
                </c:pt>
                <c:pt idx="16">
                  <c:v>41214</c:v>
                </c:pt>
                <c:pt idx="17">
                  <c:v>41244</c:v>
                </c:pt>
                <c:pt idx="18">
                  <c:v>41275</c:v>
                </c:pt>
                <c:pt idx="19">
                  <c:v>41306</c:v>
                </c:pt>
                <c:pt idx="20">
                  <c:v>41334</c:v>
                </c:pt>
                <c:pt idx="21">
                  <c:v>41365</c:v>
                </c:pt>
                <c:pt idx="22">
                  <c:v>41395</c:v>
                </c:pt>
                <c:pt idx="23">
                  <c:v>41426</c:v>
                </c:pt>
                <c:pt idx="24">
                  <c:v>41456</c:v>
                </c:pt>
                <c:pt idx="25">
                  <c:v>41487</c:v>
                </c:pt>
                <c:pt idx="26">
                  <c:v>41518</c:v>
                </c:pt>
                <c:pt idx="27">
                  <c:v>41548</c:v>
                </c:pt>
                <c:pt idx="28">
                  <c:v>41579</c:v>
                </c:pt>
                <c:pt idx="29">
                  <c:v>41609</c:v>
                </c:pt>
                <c:pt idx="30">
                  <c:v>41640</c:v>
                </c:pt>
                <c:pt idx="31">
                  <c:v>41671</c:v>
                </c:pt>
                <c:pt idx="32">
                  <c:v>41699</c:v>
                </c:pt>
                <c:pt idx="33">
                  <c:v>41730</c:v>
                </c:pt>
                <c:pt idx="34">
                  <c:v>41760</c:v>
                </c:pt>
                <c:pt idx="35">
                  <c:v>41791</c:v>
                </c:pt>
                <c:pt idx="36">
                  <c:v>41821</c:v>
                </c:pt>
                <c:pt idx="37">
                  <c:v>41852</c:v>
                </c:pt>
                <c:pt idx="38">
                  <c:v>41883</c:v>
                </c:pt>
                <c:pt idx="39">
                  <c:v>41913</c:v>
                </c:pt>
                <c:pt idx="40">
                  <c:v>41944</c:v>
                </c:pt>
                <c:pt idx="41">
                  <c:v>41974</c:v>
                </c:pt>
                <c:pt idx="42">
                  <c:v>42005</c:v>
                </c:pt>
                <c:pt idx="43">
                  <c:v>42036</c:v>
                </c:pt>
                <c:pt idx="44">
                  <c:v>42064</c:v>
                </c:pt>
                <c:pt idx="45">
                  <c:v>42095</c:v>
                </c:pt>
                <c:pt idx="46">
                  <c:v>42125</c:v>
                </c:pt>
                <c:pt idx="47">
                  <c:v>42156</c:v>
                </c:pt>
                <c:pt idx="48">
                  <c:v>42186</c:v>
                </c:pt>
                <c:pt idx="49">
                  <c:v>42217</c:v>
                </c:pt>
                <c:pt idx="50">
                  <c:v>42248</c:v>
                </c:pt>
                <c:pt idx="51">
                  <c:v>42278</c:v>
                </c:pt>
                <c:pt idx="52">
                  <c:v>42309</c:v>
                </c:pt>
                <c:pt idx="53">
                  <c:v>42339</c:v>
                </c:pt>
                <c:pt idx="54">
                  <c:v>42370</c:v>
                </c:pt>
                <c:pt idx="55">
                  <c:v>42401</c:v>
                </c:pt>
                <c:pt idx="56">
                  <c:v>42430</c:v>
                </c:pt>
                <c:pt idx="57">
                  <c:v>42461</c:v>
                </c:pt>
                <c:pt idx="58">
                  <c:v>42491</c:v>
                </c:pt>
                <c:pt idx="59">
                  <c:v>42522</c:v>
                </c:pt>
                <c:pt idx="60">
                  <c:v>42552</c:v>
                </c:pt>
                <c:pt idx="61">
                  <c:v>42583</c:v>
                </c:pt>
                <c:pt idx="62">
                  <c:v>42614</c:v>
                </c:pt>
                <c:pt idx="63">
                  <c:v>42644</c:v>
                </c:pt>
                <c:pt idx="64">
                  <c:v>42675</c:v>
                </c:pt>
                <c:pt idx="65">
                  <c:v>42705</c:v>
                </c:pt>
                <c:pt idx="66">
                  <c:v>42736</c:v>
                </c:pt>
                <c:pt idx="67">
                  <c:v>42767</c:v>
                </c:pt>
                <c:pt idx="68">
                  <c:v>42795</c:v>
                </c:pt>
                <c:pt idx="69">
                  <c:v>42826</c:v>
                </c:pt>
                <c:pt idx="70">
                  <c:v>42856</c:v>
                </c:pt>
                <c:pt idx="71">
                  <c:v>42887</c:v>
                </c:pt>
                <c:pt idx="72">
                  <c:v>42917</c:v>
                </c:pt>
                <c:pt idx="73">
                  <c:v>42948</c:v>
                </c:pt>
                <c:pt idx="74">
                  <c:v>42979</c:v>
                </c:pt>
                <c:pt idx="75">
                  <c:v>43009</c:v>
                </c:pt>
                <c:pt idx="76">
                  <c:v>43040</c:v>
                </c:pt>
                <c:pt idx="77">
                  <c:v>43070</c:v>
                </c:pt>
                <c:pt idx="78">
                  <c:v>43101</c:v>
                </c:pt>
                <c:pt idx="79">
                  <c:v>43132</c:v>
                </c:pt>
                <c:pt idx="80">
                  <c:v>43160</c:v>
                </c:pt>
                <c:pt idx="81">
                  <c:v>43191</c:v>
                </c:pt>
                <c:pt idx="82">
                  <c:v>43221</c:v>
                </c:pt>
                <c:pt idx="83">
                  <c:v>43252</c:v>
                </c:pt>
                <c:pt idx="84">
                  <c:v>43282</c:v>
                </c:pt>
                <c:pt idx="85">
                  <c:v>43313</c:v>
                </c:pt>
                <c:pt idx="86">
                  <c:v>43344</c:v>
                </c:pt>
                <c:pt idx="87">
                  <c:v>43374</c:v>
                </c:pt>
                <c:pt idx="88">
                  <c:v>43405</c:v>
                </c:pt>
                <c:pt idx="89">
                  <c:v>43435</c:v>
                </c:pt>
                <c:pt idx="90">
                  <c:v>43466</c:v>
                </c:pt>
                <c:pt idx="91">
                  <c:v>43497</c:v>
                </c:pt>
                <c:pt idx="92">
                  <c:v>43525</c:v>
                </c:pt>
                <c:pt idx="93">
                  <c:v>43556</c:v>
                </c:pt>
                <c:pt idx="94">
                  <c:v>43586</c:v>
                </c:pt>
                <c:pt idx="95">
                  <c:v>43617</c:v>
                </c:pt>
                <c:pt idx="96">
                  <c:v>43647</c:v>
                </c:pt>
                <c:pt idx="97">
                  <c:v>43678</c:v>
                </c:pt>
                <c:pt idx="98">
                  <c:v>43709</c:v>
                </c:pt>
                <c:pt idx="99">
                  <c:v>43739</c:v>
                </c:pt>
                <c:pt idx="100">
                  <c:v>43770</c:v>
                </c:pt>
                <c:pt idx="101">
                  <c:v>43800</c:v>
                </c:pt>
                <c:pt idx="102">
                  <c:v>43831</c:v>
                </c:pt>
                <c:pt idx="103">
                  <c:v>43862</c:v>
                </c:pt>
                <c:pt idx="104">
                  <c:v>43891</c:v>
                </c:pt>
                <c:pt idx="105">
                  <c:v>43922</c:v>
                </c:pt>
                <c:pt idx="106">
                  <c:v>43952</c:v>
                </c:pt>
                <c:pt idx="107">
                  <c:v>43983</c:v>
                </c:pt>
                <c:pt idx="108">
                  <c:v>44013</c:v>
                </c:pt>
                <c:pt idx="109">
                  <c:v>44044</c:v>
                </c:pt>
                <c:pt idx="110">
                  <c:v>44075</c:v>
                </c:pt>
                <c:pt idx="111">
                  <c:v>44105</c:v>
                </c:pt>
                <c:pt idx="112">
                  <c:v>44136</c:v>
                </c:pt>
                <c:pt idx="113">
                  <c:v>44166</c:v>
                </c:pt>
                <c:pt idx="114">
                  <c:v>44197</c:v>
                </c:pt>
                <c:pt idx="115">
                  <c:v>44228</c:v>
                </c:pt>
                <c:pt idx="116">
                  <c:v>44256</c:v>
                </c:pt>
                <c:pt idx="117">
                  <c:v>44287</c:v>
                </c:pt>
                <c:pt idx="118">
                  <c:v>44317</c:v>
                </c:pt>
                <c:pt idx="119">
                  <c:v>44348</c:v>
                </c:pt>
                <c:pt idx="120">
                  <c:v>44378</c:v>
                </c:pt>
                <c:pt idx="121">
                  <c:v>44409</c:v>
                </c:pt>
                <c:pt idx="122">
                  <c:v>44440</c:v>
                </c:pt>
                <c:pt idx="123">
                  <c:v>44470</c:v>
                </c:pt>
                <c:pt idx="124">
                  <c:v>44501</c:v>
                </c:pt>
                <c:pt idx="125">
                  <c:v>44531</c:v>
                </c:pt>
                <c:pt idx="126">
                  <c:v>44562</c:v>
                </c:pt>
                <c:pt idx="127">
                  <c:v>44593</c:v>
                </c:pt>
                <c:pt idx="128">
                  <c:v>44621</c:v>
                </c:pt>
                <c:pt idx="129">
                  <c:v>44652</c:v>
                </c:pt>
                <c:pt idx="130">
                  <c:v>44682</c:v>
                </c:pt>
                <c:pt idx="131">
                  <c:v>44713</c:v>
                </c:pt>
                <c:pt idx="132">
                  <c:v>44743</c:v>
                </c:pt>
                <c:pt idx="133">
                  <c:v>44774</c:v>
                </c:pt>
                <c:pt idx="134">
                  <c:v>44805</c:v>
                </c:pt>
                <c:pt idx="135">
                  <c:v>44835</c:v>
                </c:pt>
                <c:pt idx="136">
                  <c:v>44866</c:v>
                </c:pt>
                <c:pt idx="137">
                  <c:v>44896</c:v>
                </c:pt>
                <c:pt idx="138">
                  <c:v>44927</c:v>
                </c:pt>
                <c:pt idx="139">
                  <c:v>44958</c:v>
                </c:pt>
                <c:pt idx="140">
                  <c:v>44986</c:v>
                </c:pt>
                <c:pt idx="141">
                  <c:v>45017</c:v>
                </c:pt>
                <c:pt idx="142">
                  <c:v>45047</c:v>
                </c:pt>
                <c:pt idx="143">
                  <c:v>45078</c:v>
                </c:pt>
                <c:pt idx="144">
                  <c:v>45108</c:v>
                </c:pt>
                <c:pt idx="145">
                  <c:v>45139</c:v>
                </c:pt>
                <c:pt idx="146">
                  <c:v>45170</c:v>
                </c:pt>
                <c:pt idx="147">
                  <c:v>45200</c:v>
                </c:pt>
                <c:pt idx="148">
                  <c:v>45231</c:v>
                </c:pt>
                <c:pt idx="149">
                  <c:v>45261</c:v>
                </c:pt>
                <c:pt idx="150">
                  <c:v>45292</c:v>
                </c:pt>
                <c:pt idx="151">
                  <c:v>45323</c:v>
                </c:pt>
                <c:pt idx="152">
                  <c:v>45352</c:v>
                </c:pt>
                <c:pt idx="153">
                  <c:v>45383</c:v>
                </c:pt>
                <c:pt idx="154">
                  <c:v>45413</c:v>
                </c:pt>
                <c:pt idx="155">
                  <c:v>45444</c:v>
                </c:pt>
                <c:pt idx="156">
                  <c:v>45474</c:v>
                </c:pt>
                <c:pt idx="157">
                  <c:v>45505</c:v>
                </c:pt>
                <c:pt idx="158">
                  <c:v>45536</c:v>
                </c:pt>
                <c:pt idx="159">
                  <c:v>45566</c:v>
                </c:pt>
                <c:pt idx="160">
                  <c:v>45597</c:v>
                </c:pt>
                <c:pt idx="161">
                  <c:v>45627</c:v>
                </c:pt>
                <c:pt idx="162">
                  <c:v>45658</c:v>
                </c:pt>
                <c:pt idx="163">
                  <c:v>45689</c:v>
                </c:pt>
                <c:pt idx="164">
                  <c:v>45717</c:v>
                </c:pt>
                <c:pt idx="165">
                  <c:v>45748</c:v>
                </c:pt>
                <c:pt idx="166">
                  <c:v>45778</c:v>
                </c:pt>
                <c:pt idx="167">
                  <c:v>45809</c:v>
                </c:pt>
                <c:pt idx="168">
                  <c:v>45839</c:v>
                </c:pt>
                <c:pt idx="169">
                  <c:v>45870</c:v>
                </c:pt>
                <c:pt idx="170">
                  <c:v>45901</c:v>
                </c:pt>
                <c:pt idx="171">
                  <c:v>45931</c:v>
                </c:pt>
                <c:pt idx="172">
                  <c:v>45962</c:v>
                </c:pt>
                <c:pt idx="173">
                  <c:v>45992</c:v>
                </c:pt>
              </c:numCache>
            </c:numRef>
          </c:cat>
          <c:val>
            <c:numRef>
              <c:f>'Q1 SMA'!$D$8:$D$181</c:f>
              <c:numCache>
                <c:formatCode>General</c:formatCode>
                <c:ptCount val="174"/>
                <c:pt idx="0">
                  <c:v>500881014.28333336</c:v>
                </c:pt>
                <c:pt idx="1">
                  <c:v>500214686.73333335</c:v>
                </c:pt>
                <c:pt idx="2">
                  <c:v>513347160.56666666</c:v>
                </c:pt>
                <c:pt idx="3">
                  <c:v>517644388.36666673</c:v>
                </c:pt>
                <c:pt idx="4">
                  <c:v>513128623.44999999</c:v>
                </c:pt>
                <c:pt idx="5">
                  <c:v>506439642.09999996</c:v>
                </c:pt>
                <c:pt idx="6">
                  <c:v>495647629.76666665</c:v>
                </c:pt>
                <c:pt idx="7">
                  <c:v>522943679.61666662</c:v>
                </c:pt>
                <c:pt idx="8">
                  <c:v>543609019.06666672</c:v>
                </c:pt>
                <c:pt idx="9">
                  <c:v>583116714.18333328</c:v>
                </c:pt>
                <c:pt idx="10">
                  <c:v>640698044.7166667</c:v>
                </c:pt>
                <c:pt idx="11">
                  <c:v>711496420.05000007</c:v>
                </c:pt>
                <c:pt idx="12">
                  <c:v>791043046.23333323</c:v>
                </c:pt>
                <c:pt idx="13">
                  <c:v>833948123.33333337</c:v>
                </c:pt>
                <c:pt idx="14">
                  <c:v>888090342.80000007</c:v>
                </c:pt>
                <c:pt idx="15">
                  <c:v>927109487.93333328</c:v>
                </c:pt>
                <c:pt idx="16">
                  <c:v>938735061.51666653</c:v>
                </c:pt>
                <c:pt idx="17">
                  <c:v>931005834.58333337</c:v>
                </c:pt>
                <c:pt idx="18">
                  <c:v>917053198.35000002</c:v>
                </c:pt>
                <c:pt idx="19">
                  <c:v>913477282.76666653</c:v>
                </c:pt>
                <c:pt idx="20">
                  <c:v>878753427.38333333</c:v>
                </c:pt>
                <c:pt idx="21">
                  <c:v>859434784.58333337</c:v>
                </c:pt>
                <c:pt idx="22">
                  <c:v>852118965.21666658</c:v>
                </c:pt>
                <c:pt idx="23">
                  <c:v>858908549.14999998</c:v>
                </c:pt>
                <c:pt idx="24">
                  <c:v>873519820.4333334</c:v>
                </c:pt>
                <c:pt idx="25">
                  <c:v>866575798.38333321</c:v>
                </c:pt>
                <c:pt idx="26">
                  <c:v>899579642.53333318</c:v>
                </c:pt>
                <c:pt idx="27">
                  <c:v>918493058.33333337</c:v>
                </c:pt>
                <c:pt idx="28">
                  <c:v>915110281.94999993</c:v>
                </c:pt>
                <c:pt idx="29">
                  <c:v>910154052.76666653</c:v>
                </c:pt>
                <c:pt idx="30">
                  <c:v>904085987.83333313</c:v>
                </c:pt>
                <c:pt idx="31">
                  <c:v>909750206.73333347</c:v>
                </c:pt>
                <c:pt idx="32">
                  <c:v>875060332.51666677</c:v>
                </c:pt>
                <c:pt idx="33">
                  <c:v>862338083.81666672</c:v>
                </c:pt>
                <c:pt idx="34">
                  <c:v>873288357.5</c:v>
                </c:pt>
                <c:pt idx="35">
                  <c:v>891072215.25</c:v>
                </c:pt>
                <c:pt idx="36">
                  <c:v>900888525.91666663</c:v>
                </c:pt>
                <c:pt idx="37">
                  <c:v>917440025.86666679</c:v>
                </c:pt>
                <c:pt idx="38">
                  <c:v>963429147.85000002</c:v>
                </c:pt>
                <c:pt idx="39">
                  <c:v>989127248.3166666</c:v>
                </c:pt>
                <c:pt idx="40">
                  <c:v>1002924083.9833335</c:v>
                </c:pt>
                <c:pt idx="41">
                  <c:v>995342450.01666677</c:v>
                </c:pt>
                <c:pt idx="42">
                  <c:v>999184506.9333334</c:v>
                </c:pt>
                <c:pt idx="43">
                  <c:v>984714328.30000007</c:v>
                </c:pt>
                <c:pt idx="44">
                  <c:v>958478291.4000001</c:v>
                </c:pt>
                <c:pt idx="45">
                  <c:v>938080383.95000017</c:v>
                </c:pt>
                <c:pt idx="46">
                  <c:v>917852238.64999998</c:v>
                </c:pt>
                <c:pt idx="47">
                  <c:v>916276882.63333333</c:v>
                </c:pt>
                <c:pt idx="48">
                  <c:v>903091723.88333333</c:v>
                </c:pt>
                <c:pt idx="49">
                  <c:v>887609284.75</c:v>
                </c:pt>
                <c:pt idx="50">
                  <c:v>885443135.93333328</c:v>
                </c:pt>
                <c:pt idx="51">
                  <c:v>866904129.63333333</c:v>
                </c:pt>
                <c:pt idx="52">
                  <c:v>849253420.33333337</c:v>
                </c:pt>
                <c:pt idx="53">
                  <c:v>827085096.13333333</c:v>
                </c:pt>
                <c:pt idx="54">
                  <c:v>798478035.1500001</c:v>
                </c:pt>
                <c:pt idx="55">
                  <c:v>781917919.86666667</c:v>
                </c:pt>
                <c:pt idx="56">
                  <c:v>752478518.16666663</c:v>
                </c:pt>
                <c:pt idx="57">
                  <c:v>731614420.14999998</c:v>
                </c:pt>
                <c:pt idx="58">
                  <c:v>717088241.95000017</c:v>
                </c:pt>
                <c:pt idx="59">
                  <c:v>716243144.05000007</c:v>
                </c:pt>
                <c:pt idx="60">
                  <c:v>717694889.89999998</c:v>
                </c:pt>
                <c:pt idx="61">
                  <c:v>722795625.4666667</c:v>
                </c:pt>
                <c:pt idx="62">
                  <c:v>741057401.2833333</c:v>
                </c:pt>
                <c:pt idx="63">
                  <c:v>763173537.69999993</c:v>
                </c:pt>
                <c:pt idx="64">
                  <c:v>781447088.9000001</c:v>
                </c:pt>
                <c:pt idx="65">
                  <c:v>797213606.0666666</c:v>
                </c:pt>
                <c:pt idx="66">
                  <c:v>816912730.05000007</c:v>
                </c:pt>
                <c:pt idx="67">
                  <c:v>842301903.55000007</c:v>
                </c:pt>
                <c:pt idx="68">
                  <c:v>838581292.7166667</c:v>
                </c:pt>
                <c:pt idx="69">
                  <c:v>844139961.96666658</c:v>
                </c:pt>
                <c:pt idx="70">
                  <c:v>853618909.35000002</c:v>
                </c:pt>
                <c:pt idx="71">
                  <c:v>875410902.61666679</c:v>
                </c:pt>
                <c:pt idx="72">
                  <c:v>892146942.41666663</c:v>
                </c:pt>
                <c:pt idx="73">
                  <c:v>912178603.73333347</c:v>
                </c:pt>
                <c:pt idx="74">
                  <c:v>958830222.66666663</c:v>
                </c:pt>
                <c:pt idx="75">
                  <c:v>983415535.4666667</c:v>
                </c:pt>
                <c:pt idx="76">
                  <c:v>998440521.4333334</c:v>
                </c:pt>
                <c:pt idx="77">
                  <c:v>985708635.13333333</c:v>
                </c:pt>
                <c:pt idx="78">
                  <c:v>982667019.19999993</c:v>
                </c:pt>
                <c:pt idx="79">
                  <c:v>973905649.18333328</c:v>
                </c:pt>
                <c:pt idx="80">
                  <c:v>955655868.94999993</c:v>
                </c:pt>
                <c:pt idx="81">
                  <c:v>940336566.01666677</c:v>
                </c:pt>
                <c:pt idx="82">
                  <c:v>939487773.4666667</c:v>
                </c:pt>
                <c:pt idx="83">
                  <c:v>951376486.26666677</c:v>
                </c:pt>
                <c:pt idx="84">
                  <c:v>964785797.1833334</c:v>
                </c:pt>
                <c:pt idx="85">
                  <c:v>981464855.86666667</c:v>
                </c:pt>
                <c:pt idx="86">
                  <c:v>1008242003.2666668</c:v>
                </c:pt>
                <c:pt idx="87">
                  <c:v>1042123337.3333334</c:v>
                </c:pt>
                <c:pt idx="88">
                  <c:v>1067813987.3333334</c:v>
                </c:pt>
                <c:pt idx="89">
                  <c:v>1092247764</c:v>
                </c:pt>
                <c:pt idx="90">
                  <c:v>1118958238.5</c:v>
                </c:pt>
                <c:pt idx="91">
                  <c:v>1130869789.6666667</c:v>
                </c:pt>
                <c:pt idx="92">
                  <c:v>1109401915.6833334</c:v>
                </c:pt>
                <c:pt idx="93">
                  <c:v>1101276102.0166667</c:v>
                </c:pt>
                <c:pt idx="94">
                  <c:v>1099210535.3500001</c:v>
                </c:pt>
                <c:pt idx="95">
                  <c:v>1095755406.3500001</c:v>
                </c:pt>
                <c:pt idx="96">
                  <c:v>1096569064.5166667</c:v>
                </c:pt>
                <c:pt idx="97">
                  <c:v>1096930729.3500001</c:v>
                </c:pt>
                <c:pt idx="98">
                  <c:v>1120725564.5</c:v>
                </c:pt>
                <c:pt idx="99">
                  <c:v>1132879127</c:v>
                </c:pt>
                <c:pt idx="100">
                  <c:v>1137016502.5</c:v>
                </c:pt>
                <c:pt idx="101">
                  <c:v>1135316053.3333333</c:v>
                </c:pt>
                <c:pt idx="102">
                  <c:v>1125836479.1666667</c:v>
                </c:pt>
                <c:pt idx="103">
                  <c:v>1138960137.3333333</c:v>
                </c:pt>
                <c:pt idx="104">
                  <c:v>1106085795.5166667</c:v>
                </c:pt>
                <c:pt idx="105">
                  <c:v>1091020184.5166667</c:v>
                </c:pt>
                <c:pt idx="106">
                  <c:v>1075564879.1833334</c:v>
                </c:pt>
                <c:pt idx="107">
                  <c:v>1052679544.7000002</c:v>
                </c:pt>
                <c:pt idx="108">
                  <c:v>1043387206.3666667</c:v>
                </c:pt>
                <c:pt idx="109">
                  <c:v>1036129638.8666667</c:v>
                </c:pt>
                <c:pt idx="110">
                  <c:v>1100735091.5166667</c:v>
                </c:pt>
                <c:pt idx="111">
                  <c:v>1155804679.5166667</c:v>
                </c:pt>
                <c:pt idx="112">
                  <c:v>1234702516.1833334</c:v>
                </c:pt>
                <c:pt idx="113">
                  <c:v>1323389128.6666667</c:v>
                </c:pt>
                <c:pt idx="114">
                  <c:v>1452578877</c:v>
                </c:pt>
                <c:pt idx="115">
                  <c:v>1618871908</c:v>
                </c:pt>
                <c:pt idx="116">
                  <c:v>1770475523</c:v>
                </c:pt>
                <c:pt idx="117">
                  <c:v>1931297305.1666667</c:v>
                </c:pt>
                <c:pt idx="118">
                  <c:v>2064653664.1666667</c:v>
                </c:pt>
                <c:pt idx="119">
                  <c:v>2251800566</c:v>
                </c:pt>
                <c:pt idx="120">
                  <c:v>2440584555.8333335</c:v>
                </c:pt>
                <c:pt idx="121">
                  <c:v>2643821620.6666665</c:v>
                </c:pt>
                <c:pt idx="122">
                  <c:v>2917595320.6666665</c:v>
                </c:pt>
                <c:pt idx="123">
                  <c:v>3179484629</c:v>
                </c:pt>
                <c:pt idx="124">
                  <c:v>3462392633.5</c:v>
                </c:pt>
                <c:pt idx="125">
                  <c:v>3672224635</c:v>
                </c:pt>
                <c:pt idx="126">
                  <c:v>3837502983</c:v>
                </c:pt>
                <c:pt idx="127">
                  <c:v>4020674387.3333335</c:v>
                </c:pt>
                <c:pt idx="128">
                  <c:v>4049084390.8333335</c:v>
                </c:pt>
                <c:pt idx="129">
                  <c:v>4107606920.5</c:v>
                </c:pt>
                <c:pt idx="130">
                  <c:v>4118565422.5</c:v>
                </c:pt>
                <c:pt idx="131">
                  <c:v>4130175009.6666665</c:v>
                </c:pt>
                <c:pt idx="132">
                  <c:v>4165711307.1666665</c:v>
                </c:pt>
                <c:pt idx="133">
                  <c:v>4102270908.8333335</c:v>
                </c:pt>
                <c:pt idx="134">
                  <c:v>4061963199.6666665</c:v>
                </c:pt>
                <c:pt idx="135">
                  <c:v>3870133054.8333335</c:v>
                </c:pt>
                <c:pt idx="136">
                  <c:v>3637682582.1666665</c:v>
                </c:pt>
                <c:pt idx="137">
                  <c:v>3340393273.5</c:v>
                </c:pt>
                <c:pt idx="138">
                  <c:v>2950481088</c:v>
                </c:pt>
                <c:pt idx="139">
                  <c:v>2526752682</c:v>
                </c:pt>
                <c:pt idx="140">
                  <c:v>2102137316.5</c:v>
                </c:pt>
                <c:pt idx="141">
                  <c:v>1823409547.6666667</c:v>
                </c:pt>
                <c:pt idx="142">
                  <c:v>1608550055.5</c:v>
                </c:pt>
                <c:pt idx="143">
                  <c:v>1476033024.8333333</c:v>
                </c:pt>
                <c:pt idx="144">
                  <c:v>1397499561.6666667</c:v>
                </c:pt>
                <c:pt idx="145">
                  <c:v>1362604871.8333333</c:v>
                </c:pt>
                <c:pt idx="146">
                  <c:v>1396039081.6666667</c:v>
                </c:pt>
                <c:pt idx="147">
                  <c:v>1392227366.6666667</c:v>
                </c:pt>
                <c:pt idx="148">
                  <c:v>1396521093.1666667</c:v>
                </c:pt>
                <c:pt idx="149">
                  <c:v>1389874168.1666667</c:v>
                </c:pt>
                <c:pt idx="150">
                  <c:v>1381160959.3333333</c:v>
                </c:pt>
                <c:pt idx="151">
                  <c:v>1419369836.5</c:v>
                </c:pt>
                <c:pt idx="152">
                  <c:v>1459158297</c:v>
                </c:pt>
                <c:pt idx="153">
                  <c:v>1516669319.5</c:v>
                </c:pt>
                <c:pt idx="154">
                  <c:v>1592673936.6666667</c:v>
                </c:pt>
                <c:pt idx="155">
                  <c:v>1694091651.5</c:v>
                </c:pt>
                <c:pt idx="156">
                  <c:v>1901507166</c:v>
                </c:pt>
                <c:pt idx="157">
                  <c:v>2143279222.6666667</c:v>
                </c:pt>
                <c:pt idx="158">
                  <c:v>2375045914</c:v>
                </c:pt>
                <c:pt idx="159">
                  <c:v>2507092896.8333335</c:v>
                </c:pt>
                <c:pt idx="160">
                  <c:v>2586319417.3333335</c:v>
                </c:pt>
                <c:pt idx="161">
                  <c:v>2605178239.8333335</c:v>
                </c:pt>
                <c:pt idx="162">
                  <c:v>2532481761.1666665</c:v>
                </c:pt>
                <c:pt idx="163">
                  <c:v>2399964560.8333335</c:v>
                </c:pt>
                <c:pt idx="164">
                  <c:v>2191631526</c:v>
                </c:pt>
                <c:pt idx="165">
                  <c:v>2064028822.5</c:v>
                </c:pt>
                <c:pt idx="166">
                  <c:v>1953596726.1666667</c:v>
                </c:pt>
                <c:pt idx="167">
                  <c:v>1884090101.8333333</c:v>
                </c:pt>
                <c:pt idx="168">
                  <c:v>1841925666.6666667</c:v>
                </c:pt>
                <c:pt idx="169">
                  <c:v>1813845666.6666667</c:v>
                </c:pt>
                <c:pt idx="170">
                  <c:v>1833731333.3333333</c:v>
                </c:pt>
                <c:pt idx="171">
                  <c:v>1833641000</c:v>
                </c:pt>
                <c:pt idx="172">
                  <c:v>1826587666.6666667</c:v>
                </c:pt>
                <c:pt idx="173">
                  <c:v>1825071333.3333333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F3-4D93-9FD5-5ACE05B1D9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8100288"/>
        <c:axId val="114475296"/>
      </c:lineChart>
      <c:dateAx>
        <c:axId val="2810028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4475296"/>
        <c:crosses val="autoZero"/>
        <c:auto val="1"/>
        <c:lblOffset val="100"/>
        <c:baseTimeUnit val="months"/>
      </c:dateAx>
      <c:valAx>
        <c:axId val="11447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.00_);[Red]\(#,##0.00\)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10028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實際與</a:t>
            </a:r>
            <a:r>
              <a:rPr lang="en-US"/>
              <a:t>SMA</a:t>
            </a:r>
            <a:r>
              <a:rPr lang="zh-TW"/>
              <a:t> </a:t>
            </a:r>
            <a:r>
              <a:rPr lang="en-US"/>
              <a:t>3</a:t>
            </a:r>
            <a:r>
              <a:rPr lang="zh-TW"/>
              <a:t> </a:t>
            </a:r>
            <a:r>
              <a:rPr lang="en-US"/>
              <a:t>|</a:t>
            </a:r>
            <a:r>
              <a:rPr lang="zh-TW"/>
              <a:t> </a:t>
            </a:r>
            <a:r>
              <a:rPr lang="en-US"/>
              <a:t>SMA</a:t>
            </a:r>
            <a:r>
              <a:rPr lang="zh-TW"/>
              <a:t> </a:t>
            </a:r>
            <a:r>
              <a:rPr lang="en-US"/>
              <a:t>6</a:t>
            </a:r>
            <a:r>
              <a:rPr lang="zh-TW"/>
              <a:t> 差異曲線圖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'Q2 EMA'!$B$1</c:f>
              <c:strCache>
                <c:ptCount val="1"/>
                <c:pt idx="0">
                  <c:v>Container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delete val="1"/>
          </c:dLbls>
          <c:cat>
            <c:numRef>
              <c:f>'Q2 EMA'!$A$8:$A$181</c:f>
              <c:numCache>
                <c:formatCode>m/d/yyyy</c:formatCode>
                <c:ptCount val="174"/>
                <c:pt idx="0">
                  <c:v>40725</c:v>
                </c:pt>
                <c:pt idx="1">
                  <c:v>40756</c:v>
                </c:pt>
                <c:pt idx="2">
                  <c:v>40787</c:v>
                </c:pt>
                <c:pt idx="3">
                  <c:v>40817</c:v>
                </c:pt>
                <c:pt idx="4">
                  <c:v>40848</c:v>
                </c:pt>
                <c:pt idx="5">
                  <c:v>40878</c:v>
                </c:pt>
                <c:pt idx="6">
                  <c:v>40909</c:v>
                </c:pt>
                <c:pt idx="7">
                  <c:v>40940</c:v>
                </c:pt>
                <c:pt idx="8">
                  <c:v>40969</c:v>
                </c:pt>
                <c:pt idx="9">
                  <c:v>41000</c:v>
                </c:pt>
                <c:pt idx="10">
                  <c:v>41030</c:v>
                </c:pt>
                <c:pt idx="11">
                  <c:v>41061</c:v>
                </c:pt>
                <c:pt idx="12">
                  <c:v>41091</c:v>
                </c:pt>
                <c:pt idx="13">
                  <c:v>41122</c:v>
                </c:pt>
                <c:pt idx="14">
                  <c:v>41153</c:v>
                </c:pt>
                <c:pt idx="15">
                  <c:v>41183</c:v>
                </c:pt>
                <c:pt idx="16">
                  <c:v>41214</c:v>
                </c:pt>
                <c:pt idx="17">
                  <c:v>41244</c:v>
                </c:pt>
                <c:pt idx="18">
                  <c:v>41275</c:v>
                </c:pt>
                <c:pt idx="19">
                  <c:v>41306</c:v>
                </c:pt>
                <c:pt idx="20">
                  <c:v>41334</c:v>
                </c:pt>
                <c:pt idx="21">
                  <c:v>41365</c:v>
                </c:pt>
                <c:pt idx="22">
                  <c:v>41395</c:v>
                </c:pt>
                <c:pt idx="23">
                  <c:v>41426</c:v>
                </c:pt>
                <c:pt idx="24">
                  <c:v>41456</c:v>
                </c:pt>
                <c:pt idx="25">
                  <c:v>41487</c:v>
                </c:pt>
                <c:pt idx="26">
                  <c:v>41518</c:v>
                </c:pt>
                <c:pt idx="27">
                  <c:v>41548</c:v>
                </c:pt>
                <c:pt idx="28">
                  <c:v>41579</c:v>
                </c:pt>
                <c:pt idx="29">
                  <c:v>41609</c:v>
                </c:pt>
                <c:pt idx="30">
                  <c:v>41640</c:v>
                </c:pt>
                <c:pt idx="31">
                  <c:v>41671</c:v>
                </c:pt>
                <c:pt idx="32">
                  <c:v>41699</c:v>
                </c:pt>
                <c:pt idx="33">
                  <c:v>41730</c:v>
                </c:pt>
                <c:pt idx="34">
                  <c:v>41760</c:v>
                </c:pt>
                <c:pt idx="35">
                  <c:v>41791</c:v>
                </c:pt>
                <c:pt idx="36">
                  <c:v>41821</c:v>
                </c:pt>
                <c:pt idx="37">
                  <c:v>41852</c:v>
                </c:pt>
                <c:pt idx="38">
                  <c:v>41883</c:v>
                </c:pt>
                <c:pt idx="39">
                  <c:v>41913</c:v>
                </c:pt>
                <c:pt idx="40">
                  <c:v>41944</c:v>
                </c:pt>
                <c:pt idx="41">
                  <c:v>41974</c:v>
                </c:pt>
                <c:pt idx="42">
                  <c:v>42005</c:v>
                </c:pt>
                <c:pt idx="43">
                  <c:v>42036</c:v>
                </c:pt>
                <c:pt idx="44">
                  <c:v>42064</c:v>
                </c:pt>
                <c:pt idx="45">
                  <c:v>42095</c:v>
                </c:pt>
                <c:pt idx="46">
                  <c:v>42125</c:v>
                </c:pt>
                <c:pt idx="47">
                  <c:v>42156</c:v>
                </c:pt>
                <c:pt idx="48">
                  <c:v>42186</c:v>
                </c:pt>
                <c:pt idx="49">
                  <c:v>42217</c:v>
                </c:pt>
                <c:pt idx="50">
                  <c:v>42248</c:v>
                </c:pt>
                <c:pt idx="51">
                  <c:v>42278</c:v>
                </c:pt>
                <c:pt idx="52">
                  <c:v>42309</c:v>
                </c:pt>
                <c:pt idx="53">
                  <c:v>42339</c:v>
                </c:pt>
                <c:pt idx="54">
                  <c:v>42370</c:v>
                </c:pt>
                <c:pt idx="55">
                  <c:v>42401</c:v>
                </c:pt>
                <c:pt idx="56">
                  <c:v>42430</c:v>
                </c:pt>
                <c:pt idx="57">
                  <c:v>42461</c:v>
                </c:pt>
                <c:pt idx="58">
                  <c:v>42491</c:v>
                </c:pt>
                <c:pt idx="59">
                  <c:v>42522</c:v>
                </c:pt>
                <c:pt idx="60">
                  <c:v>42552</c:v>
                </c:pt>
                <c:pt idx="61">
                  <c:v>42583</c:v>
                </c:pt>
                <c:pt idx="62">
                  <c:v>42614</c:v>
                </c:pt>
                <c:pt idx="63">
                  <c:v>42644</c:v>
                </c:pt>
                <c:pt idx="64">
                  <c:v>42675</c:v>
                </c:pt>
                <c:pt idx="65">
                  <c:v>42705</c:v>
                </c:pt>
                <c:pt idx="66">
                  <c:v>42736</c:v>
                </c:pt>
                <c:pt idx="67">
                  <c:v>42767</c:v>
                </c:pt>
                <c:pt idx="68">
                  <c:v>42795</c:v>
                </c:pt>
                <c:pt idx="69">
                  <c:v>42826</c:v>
                </c:pt>
                <c:pt idx="70">
                  <c:v>42856</c:v>
                </c:pt>
                <c:pt idx="71">
                  <c:v>42887</c:v>
                </c:pt>
                <c:pt idx="72">
                  <c:v>42917</c:v>
                </c:pt>
                <c:pt idx="73">
                  <c:v>42948</c:v>
                </c:pt>
                <c:pt idx="74">
                  <c:v>42979</c:v>
                </c:pt>
                <c:pt idx="75">
                  <c:v>43009</c:v>
                </c:pt>
                <c:pt idx="76">
                  <c:v>43040</c:v>
                </c:pt>
                <c:pt idx="77">
                  <c:v>43070</c:v>
                </c:pt>
                <c:pt idx="78">
                  <c:v>43101</c:v>
                </c:pt>
                <c:pt idx="79">
                  <c:v>43132</c:v>
                </c:pt>
                <c:pt idx="80">
                  <c:v>43160</c:v>
                </c:pt>
                <c:pt idx="81">
                  <c:v>43191</c:v>
                </c:pt>
                <c:pt idx="82">
                  <c:v>43221</c:v>
                </c:pt>
                <c:pt idx="83">
                  <c:v>43252</c:v>
                </c:pt>
                <c:pt idx="84">
                  <c:v>43282</c:v>
                </c:pt>
                <c:pt idx="85">
                  <c:v>43313</c:v>
                </c:pt>
                <c:pt idx="86">
                  <c:v>43344</c:v>
                </c:pt>
                <c:pt idx="87">
                  <c:v>43374</c:v>
                </c:pt>
                <c:pt idx="88">
                  <c:v>43405</c:v>
                </c:pt>
                <c:pt idx="89">
                  <c:v>43435</c:v>
                </c:pt>
                <c:pt idx="90">
                  <c:v>43466</c:v>
                </c:pt>
                <c:pt idx="91">
                  <c:v>43497</c:v>
                </c:pt>
                <c:pt idx="92">
                  <c:v>43525</c:v>
                </c:pt>
                <c:pt idx="93">
                  <c:v>43556</c:v>
                </c:pt>
                <c:pt idx="94">
                  <c:v>43586</c:v>
                </c:pt>
                <c:pt idx="95">
                  <c:v>43617</c:v>
                </c:pt>
                <c:pt idx="96">
                  <c:v>43647</c:v>
                </c:pt>
                <c:pt idx="97">
                  <c:v>43678</c:v>
                </c:pt>
                <c:pt idx="98">
                  <c:v>43709</c:v>
                </c:pt>
                <c:pt idx="99">
                  <c:v>43739</c:v>
                </c:pt>
                <c:pt idx="100">
                  <c:v>43770</c:v>
                </c:pt>
                <c:pt idx="101">
                  <c:v>43800</c:v>
                </c:pt>
                <c:pt idx="102">
                  <c:v>43831</c:v>
                </c:pt>
                <c:pt idx="103">
                  <c:v>43862</c:v>
                </c:pt>
                <c:pt idx="104">
                  <c:v>43891</c:v>
                </c:pt>
                <c:pt idx="105">
                  <c:v>43922</c:v>
                </c:pt>
                <c:pt idx="106">
                  <c:v>43952</c:v>
                </c:pt>
                <c:pt idx="107">
                  <c:v>43983</c:v>
                </c:pt>
                <c:pt idx="108">
                  <c:v>44013</c:v>
                </c:pt>
                <c:pt idx="109">
                  <c:v>44044</c:v>
                </c:pt>
                <c:pt idx="110">
                  <c:v>44075</c:v>
                </c:pt>
                <c:pt idx="111">
                  <c:v>44105</c:v>
                </c:pt>
                <c:pt idx="112">
                  <c:v>44136</c:v>
                </c:pt>
                <c:pt idx="113">
                  <c:v>44166</c:v>
                </c:pt>
                <c:pt idx="114">
                  <c:v>44197</c:v>
                </c:pt>
                <c:pt idx="115">
                  <c:v>44228</c:v>
                </c:pt>
                <c:pt idx="116">
                  <c:v>44256</c:v>
                </c:pt>
                <c:pt idx="117">
                  <c:v>44287</c:v>
                </c:pt>
                <c:pt idx="118">
                  <c:v>44317</c:v>
                </c:pt>
                <c:pt idx="119">
                  <c:v>44348</c:v>
                </c:pt>
                <c:pt idx="120">
                  <c:v>44378</c:v>
                </c:pt>
                <c:pt idx="121">
                  <c:v>44409</c:v>
                </c:pt>
                <c:pt idx="122">
                  <c:v>44440</c:v>
                </c:pt>
                <c:pt idx="123">
                  <c:v>44470</c:v>
                </c:pt>
                <c:pt idx="124">
                  <c:v>44501</c:v>
                </c:pt>
                <c:pt idx="125">
                  <c:v>44531</c:v>
                </c:pt>
                <c:pt idx="126">
                  <c:v>44562</c:v>
                </c:pt>
                <c:pt idx="127">
                  <c:v>44593</c:v>
                </c:pt>
                <c:pt idx="128">
                  <c:v>44621</c:v>
                </c:pt>
                <c:pt idx="129">
                  <c:v>44652</c:v>
                </c:pt>
                <c:pt idx="130">
                  <c:v>44682</c:v>
                </c:pt>
                <c:pt idx="131">
                  <c:v>44713</c:v>
                </c:pt>
                <c:pt idx="132">
                  <c:v>44743</c:v>
                </c:pt>
                <c:pt idx="133">
                  <c:v>44774</c:v>
                </c:pt>
                <c:pt idx="134">
                  <c:v>44805</c:v>
                </c:pt>
                <c:pt idx="135">
                  <c:v>44835</c:v>
                </c:pt>
                <c:pt idx="136">
                  <c:v>44866</c:v>
                </c:pt>
                <c:pt idx="137">
                  <c:v>44896</c:v>
                </c:pt>
                <c:pt idx="138">
                  <c:v>44927</c:v>
                </c:pt>
                <c:pt idx="139">
                  <c:v>44958</c:v>
                </c:pt>
                <c:pt idx="140">
                  <c:v>44986</c:v>
                </c:pt>
                <c:pt idx="141">
                  <c:v>45017</c:v>
                </c:pt>
                <c:pt idx="142">
                  <c:v>45047</c:v>
                </c:pt>
                <c:pt idx="143">
                  <c:v>45078</c:v>
                </c:pt>
                <c:pt idx="144">
                  <c:v>45108</c:v>
                </c:pt>
                <c:pt idx="145">
                  <c:v>45139</c:v>
                </c:pt>
                <c:pt idx="146">
                  <c:v>45170</c:v>
                </c:pt>
                <c:pt idx="147">
                  <c:v>45200</c:v>
                </c:pt>
                <c:pt idx="148">
                  <c:v>45231</c:v>
                </c:pt>
                <c:pt idx="149">
                  <c:v>45261</c:v>
                </c:pt>
                <c:pt idx="150">
                  <c:v>45292</c:v>
                </c:pt>
                <c:pt idx="151">
                  <c:v>45323</c:v>
                </c:pt>
                <c:pt idx="152">
                  <c:v>45352</c:v>
                </c:pt>
                <c:pt idx="153">
                  <c:v>45383</c:v>
                </c:pt>
                <c:pt idx="154">
                  <c:v>45413</c:v>
                </c:pt>
                <c:pt idx="155">
                  <c:v>45444</c:v>
                </c:pt>
                <c:pt idx="156">
                  <c:v>45474</c:v>
                </c:pt>
                <c:pt idx="157">
                  <c:v>45505</c:v>
                </c:pt>
                <c:pt idx="158">
                  <c:v>45536</c:v>
                </c:pt>
                <c:pt idx="159">
                  <c:v>45566</c:v>
                </c:pt>
                <c:pt idx="160">
                  <c:v>45597</c:v>
                </c:pt>
                <c:pt idx="161">
                  <c:v>45627</c:v>
                </c:pt>
                <c:pt idx="162">
                  <c:v>45658</c:v>
                </c:pt>
                <c:pt idx="163">
                  <c:v>45689</c:v>
                </c:pt>
                <c:pt idx="164">
                  <c:v>45717</c:v>
                </c:pt>
                <c:pt idx="165">
                  <c:v>45748</c:v>
                </c:pt>
                <c:pt idx="166">
                  <c:v>45778</c:v>
                </c:pt>
                <c:pt idx="167">
                  <c:v>45809</c:v>
                </c:pt>
                <c:pt idx="168">
                  <c:v>45839</c:v>
                </c:pt>
                <c:pt idx="169">
                  <c:v>45870</c:v>
                </c:pt>
                <c:pt idx="170">
                  <c:v>45901</c:v>
                </c:pt>
                <c:pt idx="171">
                  <c:v>45931</c:v>
                </c:pt>
                <c:pt idx="172">
                  <c:v>45962</c:v>
                </c:pt>
                <c:pt idx="173">
                  <c:v>45992</c:v>
                </c:pt>
              </c:numCache>
            </c:numRef>
          </c:cat>
          <c:val>
            <c:numRef>
              <c:f>'Q2 EMA'!$B$8:$B$181</c:f>
              <c:numCache>
                <c:formatCode>General</c:formatCode>
                <c:ptCount val="174"/>
                <c:pt idx="0">
                  <c:v>526166118</c:v>
                </c:pt>
                <c:pt idx="1">
                  <c:v>520844989.30000001</c:v>
                </c:pt>
                <c:pt idx="2">
                  <c:v>484694267.89999998</c:v>
                </c:pt>
                <c:pt idx="3">
                  <c:v>494560586.5</c:v>
                </c:pt>
                <c:pt idx="4">
                  <c:v>481736591.5</c:v>
                </c:pt>
                <c:pt idx="5">
                  <c:v>465883225.39999998</c:v>
                </c:pt>
                <c:pt idx="6">
                  <c:v>689942417.10000002</c:v>
                </c:pt>
                <c:pt idx="7">
                  <c:v>644837026</c:v>
                </c:pt>
                <c:pt idx="8">
                  <c:v>721740438.60000002</c:v>
                </c:pt>
                <c:pt idx="9">
                  <c:v>840048569.70000005</c:v>
                </c:pt>
                <c:pt idx="10">
                  <c:v>906526843.5</c:v>
                </c:pt>
                <c:pt idx="11">
                  <c:v>943162982.5</c:v>
                </c:pt>
                <c:pt idx="12">
                  <c:v>947372879.70000005</c:v>
                </c:pt>
                <c:pt idx="13">
                  <c:v>969690342.79999995</c:v>
                </c:pt>
                <c:pt idx="14">
                  <c:v>955855309.39999998</c:v>
                </c:pt>
                <c:pt idx="15">
                  <c:v>909802011.20000005</c:v>
                </c:pt>
                <c:pt idx="16">
                  <c:v>860151481.89999998</c:v>
                </c:pt>
                <c:pt idx="17">
                  <c:v>859447165.10000002</c:v>
                </c:pt>
                <c:pt idx="18">
                  <c:v>925917386.20000005</c:v>
                </c:pt>
                <c:pt idx="19">
                  <c:v>761347210.5</c:v>
                </c:pt>
                <c:pt idx="20">
                  <c:v>839943452.60000002</c:v>
                </c:pt>
                <c:pt idx="21">
                  <c:v>865907095</c:v>
                </c:pt>
                <c:pt idx="22">
                  <c:v>900888985.5</c:v>
                </c:pt>
                <c:pt idx="23">
                  <c:v>947114792.79999995</c:v>
                </c:pt>
                <c:pt idx="24">
                  <c:v>884253253.89999998</c:v>
                </c:pt>
                <c:pt idx="25">
                  <c:v>959370275.39999998</c:v>
                </c:pt>
                <c:pt idx="26">
                  <c:v>953423947.39999998</c:v>
                </c:pt>
                <c:pt idx="27">
                  <c:v>845610436.70000005</c:v>
                </c:pt>
                <c:pt idx="28">
                  <c:v>871151610.39999998</c:v>
                </c:pt>
                <c:pt idx="29">
                  <c:v>910706403.20000005</c:v>
                </c:pt>
                <c:pt idx="30">
                  <c:v>918238567.29999995</c:v>
                </c:pt>
                <c:pt idx="31">
                  <c:v>751231030.10000002</c:v>
                </c:pt>
                <c:pt idx="32">
                  <c:v>877090455.20000005</c:v>
                </c:pt>
                <c:pt idx="33">
                  <c:v>911312078.79999995</c:v>
                </c:pt>
                <c:pt idx="34">
                  <c:v>977854756.89999998</c:v>
                </c:pt>
                <c:pt idx="35">
                  <c:v>969604267.20000005</c:v>
                </c:pt>
                <c:pt idx="36">
                  <c:v>1017547567</c:v>
                </c:pt>
                <c:pt idx="37">
                  <c:v>1027165762</c:v>
                </c:pt>
                <c:pt idx="38">
                  <c:v>1031279058</c:v>
                </c:pt>
                <c:pt idx="39">
                  <c:v>994093092.79999995</c:v>
                </c:pt>
                <c:pt idx="40">
                  <c:v>932364953.10000002</c:v>
                </c:pt>
                <c:pt idx="41">
                  <c:v>992656608.70000005</c:v>
                </c:pt>
                <c:pt idx="42">
                  <c:v>930726495.20000005</c:v>
                </c:pt>
                <c:pt idx="43">
                  <c:v>869749540.60000002</c:v>
                </c:pt>
                <c:pt idx="44">
                  <c:v>908891613.29999995</c:v>
                </c:pt>
                <c:pt idx="45">
                  <c:v>872724221</c:v>
                </c:pt>
                <c:pt idx="46">
                  <c:v>922912817</c:v>
                </c:pt>
                <c:pt idx="47">
                  <c:v>913545656.20000005</c:v>
                </c:pt>
                <c:pt idx="48">
                  <c:v>837831860.39999998</c:v>
                </c:pt>
                <c:pt idx="49">
                  <c:v>856752647.70000005</c:v>
                </c:pt>
                <c:pt idx="50">
                  <c:v>797657575.5</c:v>
                </c:pt>
                <c:pt idx="51">
                  <c:v>766819965.20000005</c:v>
                </c:pt>
                <c:pt idx="52">
                  <c:v>789902871.79999995</c:v>
                </c:pt>
                <c:pt idx="53">
                  <c:v>741903290.29999995</c:v>
                </c:pt>
                <c:pt idx="54">
                  <c:v>738471168.70000005</c:v>
                </c:pt>
                <c:pt idx="55">
                  <c:v>680116237.5</c:v>
                </c:pt>
                <c:pt idx="56">
                  <c:v>672472987.39999998</c:v>
                </c:pt>
                <c:pt idx="57">
                  <c:v>679662896</c:v>
                </c:pt>
                <c:pt idx="58">
                  <c:v>784832284.39999998</c:v>
                </c:pt>
                <c:pt idx="59">
                  <c:v>750613765.39999998</c:v>
                </c:pt>
                <c:pt idx="60">
                  <c:v>769075582.10000002</c:v>
                </c:pt>
                <c:pt idx="61">
                  <c:v>789686892.39999998</c:v>
                </c:pt>
                <c:pt idx="62">
                  <c:v>805169805.89999998</c:v>
                </c:pt>
                <c:pt idx="63">
                  <c:v>789304203.20000005</c:v>
                </c:pt>
                <c:pt idx="64">
                  <c:v>879431387.39999998</c:v>
                </c:pt>
                <c:pt idx="65">
                  <c:v>868808509.29999995</c:v>
                </c:pt>
                <c:pt idx="66">
                  <c:v>921410623.10000002</c:v>
                </c:pt>
                <c:pt idx="67">
                  <c:v>767363227.39999998</c:v>
                </c:pt>
                <c:pt idx="68">
                  <c:v>838521821.39999998</c:v>
                </c:pt>
                <c:pt idx="69">
                  <c:v>846177887.5</c:v>
                </c:pt>
                <c:pt idx="70">
                  <c:v>1010183347</c:v>
                </c:pt>
                <c:pt idx="71">
                  <c:v>969224748.10000002</c:v>
                </c:pt>
                <c:pt idx="72">
                  <c:v>1041600591</c:v>
                </c:pt>
                <c:pt idx="73">
                  <c:v>1047272941</c:v>
                </c:pt>
                <c:pt idx="74">
                  <c:v>986033698.20000005</c:v>
                </c:pt>
                <c:pt idx="75">
                  <c:v>936327803.29999995</c:v>
                </c:pt>
                <c:pt idx="76">
                  <c:v>933792029.20000005</c:v>
                </c:pt>
                <c:pt idx="77">
                  <c:v>950975052.5</c:v>
                </c:pt>
                <c:pt idx="78">
                  <c:v>989032370.89999998</c:v>
                </c:pt>
                <c:pt idx="79">
                  <c:v>937774259.60000002</c:v>
                </c:pt>
                <c:pt idx="80">
                  <c:v>894117880.60000002</c:v>
                </c:pt>
                <c:pt idx="81">
                  <c:v>931235048</c:v>
                </c:pt>
                <c:pt idx="82">
                  <c:v>1005124306</c:v>
                </c:pt>
                <c:pt idx="83">
                  <c:v>1031430918</c:v>
                </c:pt>
                <c:pt idx="84">
                  <c:v>1089106723</c:v>
                </c:pt>
                <c:pt idx="85">
                  <c:v>1098437144</c:v>
                </c:pt>
                <c:pt idx="86">
                  <c:v>1097405885</c:v>
                </c:pt>
                <c:pt idx="87">
                  <c:v>1085378948</c:v>
                </c:pt>
                <c:pt idx="88">
                  <c:v>1151726966</c:v>
                </c:pt>
                <c:pt idx="89">
                  <c:v>1191693765</c:v>
                </c:pt>
                <c:pt idx="90">
                  <c:v>1160576030</c:v>
                </c:pt>
                <c:pt idx="91">
                  <c:v>969629900.10000002</c:v>
                </c:pt>
                <c:pt idx="92">
                  <c:v>1048651003</c:v>
                </c:pt>
                <c:pt idx="93">
                  <c:v>1072985548</c:v>
                </c:pt>
                <c:pt idx="94">
                  <c:v>1130996192</c:v>
                </c:pt>
                <c:pt idx="95">
                  <c:v>1196575714</c:v>
                </c:pt>
                <c:pt idx="96">
                  <c:v>1162746019</c:v>
                </c:pt>
                <c:pt idx="97">
                  <c:v>1112398911</c:v>
                </c:pt>
                <c:pt idx="98">
                  <c:v>1121572378</c:v>
                </c:pt>
                <c:pt idx="99">
                  <c:v>1097809801</c:v>
                </c:pt>
                <c:pt idx="100">
                  <c:v>1120793497</c:v>
                </c:pt>
                <c:pt idx="101">
                  <c:v>1139698269</c:v>
                </c:pt>
                <c:pt idx="102">
                  <c:v>1241487968</c:v>
                </c:pt>
                <c:pt idx="103">
                  <c:v>915152860.10000002</c:v>
                </c:pt>
                <c:pt idx="104">
                  <c:v>1031178712</c:v>
                </c:pt>
                <c:pt idx="105">
                  <c:v>1005077969</c:v>
                </c:pt>
                <c:pt idx="106">
                  <c:v>983481490.10000002</c:v>
                </c:pt>
                <c:pt idx="107">
                  <c:v>1083944239</c:v>
                </c:pt>
                <c:pt idx="108">
                  <c:v>1197942563</c:v>
                </c:pt>
                <c:pt idx="109">
                  <c:v>1302785576</c:v>
                </c:pt>
                <c:pt idx="110">
                  <c:v>1361596240</c:v>
                </c:pt>
                <c:pt idx="111">
                  <c:v>1478464989</c:v>
                </c:pt>
                <c:pt idx="112">
                  <c:v>1515601165</c:v>
                </c:pt>
                <c:pt idx="113">
                  <c:v>1859082729</c:v>
                </c:pt>
                <c:pt idx="114">
                  <c:v>2195700749</c:v>
                </c:pt>
                <c:pt idx="115">
                  <c:v>2212407266</c:v>
                </c:pt>
                <c:pt idx="116">
                  <c:v>2326526933</c:v>
                </c:pt>
                <c:pt idx="117">
                  <c:v>2278603143</c:v>
                </c:pt>
                <c:pt idx="118">
                  <c:v>2638482576</c:v>
                </c:pt>
                <c:pt idx="119">
                  <c:v>2991786668</c:v>
                </c:pt>
                <c:pt idx="120">
                  <c:v>3415123138</c:v>
                </c:pt>
                <c:pt idx="121">
                  <c:v>3855049466</c:v>
                </c:pt>
                <c:pt idx="122">
                  <c:v>3897862783</c:v>
                </c:pt>
                <c:pt idx="123">
                  <c:v>3976051170</c:v>
                </c:pt>
                <c:pt idx="124">
                  <c:v>3897474585</c:v>
                </c:pt>
                <c:pt idx="125">
                  <c:v>3983456756</c:v>
                </c:pt>
                <c:pt idx="126">
                  <c:v>4514151564</c:v>
                </c:pt>
                <c:pt idx="127">
                  <c:v>4025509487</c:v>
                </c:pt>
                <c:pt idx="128">
                  <c:v>4248997961</c:v>
                </c:pt>
                <c:pt idx="129">
                  <c:v>4041802182</c:v>
                </c:pt>
                <c:pt idx="130">
                  <c:v>3967132108</c:v>
                </c:pt>
                <c:pt idx="131">
                  <c:v>4196674541</c:v>
                </c:pt>
                <c:pt idx="132">
                  <c:v>4133509174</c:v>
                </c:pt>
                <c:pt idx="133">
                  <c:v>3783663232</c:v>
                </c:pt>
                <c:pt idx="134">
                  <c:v>3098017092</c:v>
                </c:pt>
                <c:pt idx="135">
                  <c:v>2647099346</c:v>
                </c:pt>
                <c:pt idx="136">
                  <c:v>2183396256</c:v>
                </c:pt>
                <c:pt idx="137">
                  <c:v>1857201428</c:v>
                </c:pt>
                <c:pt idx="138">
                  <c:v>1591138738</c:v>
                </c:pt>
                <c:pt idx="139">
                  <c:v>1235971039</c:v>
                </c:pt>
                <c:pt idx="140">
                  <c:v>1425650479</c:v>
                </c:pt>
                <c:pt idx="141">
                  <c:v>1357942393</c:v>
                </c:pt>
                <c:pt idx="142">
                  <c:v>1388294072</c:v>
                </c:pt>
                <c:pt idx="143">
                  <c:v>1386000649</c:v>
                </c:pt>
                <c:pt idx="144">
                  <c:v>1381770599</c:v>
                </c:pt>
                <c:pt idx="145">
                  <c:v>1436576298</c:v>
                </c:pt>
                <c:pt idx="146">
                  <c:v>1402780189</c:v>
                </c:pt>
                <c:pt idx="147">
                  <c:v>1383704752</c:v>
                </c:pt>
                <c:pt idx="148">
                  <c:v>1348412522</c:v>
                </c:pt>
                <c:pt idx="149">
                  <c:v>1333721396</c:v>
                </c:pt>
                <c:pt idx="150">
                  <c:v>1611023862</c:v>
                </c:pt>
                <c:pt idx="151">
                  <c:v>1675307061</c:v>
                </c:pt>
                <c:pt idx="152">
                  <c:v>1747846324</c:v>
                </c:pt>
                <c:pt idx="153">
                  <c:v>1839732455</c:v>
                </c:pt>
                <c:pt idx="154">
                  <c:v>1956918811</c:v>
                </c:pt>
                <c:pt idx="155">
                  <c:v>2578214483</c:v>
                </c:pt>
                <c:pt idx="156">
                  <c:v>3061656202</c:v>
                </c:pt>
                <c:pt idx="157">
                  <c:v>3065907209</c:v>
                </c:pt>
                <c:pt idx="158">
                  <c:v>2540128221</c:v>
                </c:pt>
                <c:pt idx="159">
                  <c:v>2315091578</c:v>
                </c:pt>
                <c:pt idx="160">
                  <c:v>2070071746</c:v>
                </c:pt>
                <c:pt idx="161">
                  <c:v>2142035611</c:v>
                </c:pt>
                <c:pt idx="162">
                  <c:v>2266553000</c:v>
                </c:pt>
                <c:pt idx="163">
                  <c:v>1815909000</c:v>
                </c:pt>
                <c:pt idx="164">
                  <c:v>1774512000</c:v>
                </c:pt>
                <c:pt idx="165">
                  <c:v>1652499000</c:v>
                </c:pt>
                <c:pt idx="166">
                  <c:v>1653032000</c:v>
                </c:pt>
                <c:pt idx="167">
                  <c:v>1889049000</c:v>
                </c:pt>
                <c:pt idx="168">
                  <c:v>2098073000</c:v>
                </c:pt>
                <c:pt idx="169">
                  <c:v>1935223000</c:v>
                </c:pt>
                <c:pt idx="170">
                  <c:v>1773970000</c:v>
                </c:pt>
                <c:pt idx="171">
                  <c:v>1610179000</c:v>
                </c:pt>
                <c:pt idx="172">
                  <c:v>1643934000</c:v>
                </c:pt>
                <c:pt idx="173">
                  <c:v>1856222000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B-41FE-AE04-3620357CC642}"/>
            </c:ext>
          </c:extLst>
        </c:ser>
        <c:ser>
          <c:idx val="1"/>
          <c:order val="1"/>
          <c:tx>
            <c:strRef>
              <c:f>'Q2 EMA'!$C$1</c:f>
              <c:strCache>
                <c:ptCount val="1"/>
                <c:pt idx="0">
                  <c:v>0.2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delete val="1"/>
          </c:dLbls>
          <c:cat>
            <c:numRef>
              <c:f>'Q2 EMA'!$A$8:$A$181</c:f>
              <c:numCache>
                <c:formatCode>m/d/yyyy</c:formatCode>
                <c:ptCount val="174"/>
                <c:pt idx="0">
                  <c:v>40725</c:v>
                </c:pt>
                <c:pt idx="1">
                  <c:v>40756</c:v>
                </c:pt>
                <c:pt idx="2">
                  <c:v>40787</c:v>
                </c:pt>
                <c:pt idx="3">
                  <c:v>40817</c:v>
                </c:pt>
                <c:pt idx="4">
                  <c:v>40848</c:v>
                </c:pt>
                <c:pt idx="5">
                  <c:v>40878</c:v>
                </c:pt>
                <c:pt idx="6">
                  <c:v>40909</c:v>
                </c:pt>
                <c:pt idx="7">
                  <c:v>40940</c:v>
                </c:pt>
                <c:pt idx="8">
                  <c:v>40969</c:v>
                </c:pt>
                <c:pt idx="9">
                  <c:v>41000</c:v>
                </c:pt>
                <c:pt idx="10">
                  <c:v>41030</c:v>
                </c:pt>
                <c:pt idx="11">
                  <c:v>41061</c:v>
                </c:pt>
                <c:pt idx="12">
                  <c:v>41091</c:v>
                </c:pt>
                <c:pt idx="13">
                  <c:v>41122</c:v>
                </c:pt>
                <c:pt idx="14">
                  <c:v>41153</c:v>
                </c:pt>
                <c:pt idx="15">
                  <c:v>41183</c:v>
                </c:pt>
                <c:pt idx="16">
                  <c:v>41214</c:v>
                </c:pt>
                <c:pt idx="17">
                  <c:v>41244</c:v>
                </c:pt>
                <c:pt idx="18">
                  <c:v>41275</c:v>
                </c:pt>
                <c:pt idx="19">
                  <c:v>41306</c:v>
                </c:pt>
                <c:pt idx="20">
                  <c:v>41334</c:v>
                </c:pt>
                <c:pt idx="21">
                  <c:v>41365</c:v>
                </c:pt>
                <c:pt idx="22">
                  <c:v>41395</c:v>
                </c:pt>
                <c:pt idx="23">
                  <c:v>41426</c:v>
                </c:pt>
                <c:pt idx="24">
                  <c:v>41456</c:v>
                </c:pt>
                <c:pt idx="25">
                  <c:v>41487</c:v>
                </c:pt>
                <c:pt idx="26">
                  <c:v>41518</c:v>
                </c:pt>
                <c:pt idx="27">
                  <c:v>41548</c:v>
                </c:pt>
                <c:pt idx="28">
                  <c:v>41579</c:v>
                </c:pt>
                <c:pt idx="29">
                  <c:v>41609</c:v>
                </c:pt>
                <c:pt idx="30">
                  <c:v>41640</c:v>
                </c:pt>
                <c:pt idx="31">
                  <c:v>41671</c:v>
                </c:pt>
                <c:pt idx="32">
                  <c:v>41699</c:v>
                </c:pt>
                <c:pt idx="33">
                  <c:v>41730</c:v>
                </c:pt>
                <c:pt idx="34">
                  <c:v>41760</c:v>
                </c:pt>
                <c:pt idx="35">
                  <c:v>41791</c:v>
                </c:pt>
                <c:pt idx="36">
                  <c:v>41821</c:v>
                </c:pt>
                <c:pt idx="37">
                  <c:v>41852</c:v>
                </c:pt>
                <c:pt idx="38">
                  <c:v>41883</c:v>
                </c:pt>
                <c:pt idx="39">
                  <c:v>41913</c:v>
                </c:pt>
                <c:pt idx="40">
                  <c:v>41944</c:v>
                </c:pt>
                <c:pt idx="41">
                  <c:v>41974</c:v>
                </c:pt>
                <c:pt idx="42">
                  <c:v>42005</c:v>
                </c:pt>
                <c:pt idx="43">
                  <c:v>42036</c:v>
                </c:pt>
                <c:pt idx="44">
                  <c:v>42064</c:v>
                </c:pt>
                <c:pt idx="45">
                  <c:v>42095</c:v>
                </c:pt>
                <c:pt idx="46">
                  <c:v>42125</c:v>
                </c:pt>
                <c:pt idx="47">
                  <c:v>42156</c:v>
                </c:pt>
                <c:pt idx="48">
                  <c:v>42186</c:v>
                </c:pt>
                <c:pt idx="49">
                  <c:v>42217</c:v>
                </c:pt>
                <c:pt idx="50">
                  <c:v>42248</c:v>
                </c:pt>
                <c:pt idx="51">
                  <c:v>42278</c:v>
                </c:pt>
                <c:pt idx="52">
                  <c:v>42309</c:v>
                </c:pt>
                <c:pt idx="53">
                  <c:v>42339</c:v>
                </c:pt>
                <c:pt idx="54">
                  <c:v>42370</c:v>
                </c:pt>
                <c:pt idx="55">
                  <c:v>42401</c:v>
                </c:pt>
                <c:pt idx="56">
                  <c:v>42430</c:v>
                </c:pt>
                <c:pt idx="57">
                  <c:v>42461</c:v>
                </c:pt>
                <c:pt idx="58">
                  <c:v>42491</c:v>
                </c:pt>
                <c:pt idx="59">
                  <c:v>42522</c:v>
                </c:pt>
                <c:pt idx="60">
                  <c:v>42552</c:v>
                </c:pt>
                <c:pt idx="61">
                  <c:v>42583</c:v>
                </c:pt>
                <c:pt idx="62">
                  <c:v>42614</c:v>
                </c:pt>
                <c:pt idx="63">
                  <c:v>42644</c:v>
                </c:pt>
                <c:pt idx="64">
                  <c:v>42675</c:v>
                </c:pt>
                <c:pt idx="65">
                  <c:v>42705</c:v>
                </c:pt>
                <c:pt idx="66">
                  <c:v>42736</c:v>
                </c:pt>
                <c:pt idx="67">
                  <c:v>42767</c:v>
                </c:pt>
                <c:pt idx="68">
                  <c:v>42795</c:v>
                </c:pt>
                <c:pt idx="69">
                  <c:v>42826</c:v>
                </c:pt>
                <c:pt idx="70">
                  <c:v>42856</c:v>
                </c:pt>
                <c:pt idx="71">
                  <c:v>42887</c:v>
                </c:pt>
                <c:pt idx="72">
                  <c:v>42917</c:v>
                </c:pt>
                <c:pt idx="73">
                  <c:v>42948</c:v>
                </c:pt>
                <c:pt idx="74">
                  <c:v>42979</c:v>
                </c:pt>
                <c:pt idx="75">
                  <c:v>43009</c:v>
                </c:pt>
                <c:pt idx="76">
                  <c:v>43040</c:v>
                </c:pt>
                <c:pt idx="77">
                  <c:v>43070</c:v>
                </c:pt>
                <c:pt idx="78">
                  <c:v>43101</c:v>
                </c:pt>
                <c:pt idx="79">
                  <c:v>43132</c:v>
                </c:pt>
                <c:pt idx="80">
                  <c:v>43160</c:v>
                </c:pt>
                <c:pt idx="81">
                  <c:v>43191</c:v>
                </c:pt>
                <c:pt idx="82">
                  <c:v>43221</c:v>
                </c:pt>
                <c:pt idx="83">
                  <c:v>43252</c:v>
                </c:pt>
                <c:pt idx="84">
                  <c:v>43282</c:v>
                </c:pt>
                <c:pt idx="85">
                  <c:v>43313</c:v>
                </c:pt>
                <c:pt idx="86">
                  <c:v>43344</c:v>
                </c:pt>
                <c:pt idx="87">
                  <c:v>43374</c:v>
                </c:pt>
                <c:pt idx="88">
                  <c:v>43405</c:v>
                </c:pt>
                <c:pt idx="89">
                  <c:v>43435</c:v>
                </c:pt>
                <c:pt idx="90">
                  <c:v>43466</c:v>
                </c:pt>
                <c:pt idx="91">
                  <c:v>43497</c:v>
                </c:pt>
                <c:pt idx="92">
                  <c:v>43525</c:v>
                </c:pt>
                <c:pt idx="93">
                  <c:v>43556</c:v>
                </c:pt>
                <c:pt idx="94">
                  <c:v>43586</c:v>
                </c:pt>
                <c:pt idx="95">
                  <c:v>43617</c:v>
                </c:pt>
                <c:pt idx="96">
                  <c:v>43647</c:v>
                </c:pt>
                <c:pt idx="97">
                  <c:v>43678</c:v>
                </c:pt>
                <c:pt idx="98">
                  <c:v>43709</c:v>
                </c:pt>
                <c:pt idx="99">
                  <c:v>43739</c:v>
                </c:pt>
                <c:pt idx="100">
                  <c:v>43770</c:v>
                </c:pt>
                <c:pt idx="101">
                  <c:v>43800</c:v>
                </c:pt>
                <c:pt idx="102">
                  <c:v>43831</c:v>
                </c:pt>
                <c:pt idx="103">
                  <c:v>43862</c:v>
                </c:pt>
                <c:pt idx="104">
                  <c:v>43891</c:v>
                </c:pt>
                <c:pt idx="105">
                  <c:v>43922</c:v>
                </c:pt>
                <c:pt idx="106">
                  <c:v>43952</c:v>
                </c:pt>
                <c:pt idx="107">
                  <c:v>43983</c:v>
                </c:pt>
                <c:pt idx="108">
                  <c:v>44013</c:v>
                </c:pt>
                <c:pt idx="109">
                  <c:v>44044</c:v>
                </c:pt>
                <c:pt idx="110">
                  <c:v>44075</c:v>
                </c:pt>
                <c:pt idx="111">
                  <c:v>44105</c:v>
                </c:pt>
                <c:pt idx="112">
                  <c:v>44136</c:v>
                </c:pt>
                <c:pt idx="113">
                  <c:v>44166</c:v>
                </c:pt>
                <c:pt idx="114">
                  <c:v>44197</c:v>
                </c:pt>
                <c:pt idx="115">
                  <c:v>44228</c:v>
                </c:pt>
                <c:pt idx="116">
                  <c:v>44256</c:v>
                </c:pt>
                <c:pt idx="117">
                  <c:v>44287</c:v>
                </c:pt>
                <c:pt idx="118">
                  <c:v>44317</c:v>
                </c:pt>
                <c:pt idx="119">
                  <c:v>44348</c:v>
                </c:pt>
                <c:pt idx="120">
                  <c:v>44378</c:v>
                </c:pt>
                <c:pt idx="121">
                  <c:v>44409</c:v>
                </c:pt>
                <c:pt idx="122">
                  <c:v>44440</c:v>
                </c:pt>
                <c:pt idx="123">
                  <c:v>44470</c:v>
                </c:pt>
                <c:pt idx="124">
                  <c:v>44501</c:v>
                </c:pt>
                <c:pt idx="125">
                  <c:v>44531</c:v>
                </c:pt>
                <c:pt idx="126">
                  <c:v>44562</c:v>
                </c:pt>
                <c:pt idx="127">
                  <c:v>44593</c:v>
                </c:pt>
                <c:pt idx="128">
                  <c:v>44621</c:v>
                </c:pt>
                <c:pt idx="129">
                  <c:v>44652</c:v>
                </c:pt>
                <c:pt idx="130">
                  <c:v>44682</c:v>
                </c:pt>
                <c:pt idx="131">
                  <c:v>44713</c:v>
                </c:pt>
                <c:pt idx="132">
                  <c:v>44743</c:v>
                </c:pt>
                <c:pt idx="133">
                  <c:v>44774</c:v>
                </c:pt>
                <c:pt idx="134">
                  <c:v>44805</c:v>
                </c:pt>
                <c:pt idx="135">
                  <c:v>44835</c:v>
                </c:pt>
                <c:pt idx="136">
                  <c:v>44866</c:v>
                </c:pt>
                <c:pt idx="137">
                  <c:v>44896</c:v>
                </c:pt>
                <c:pt idx="138">
                  <c:v>44927</c:v>
                </c:pt>
                <c:pt idx="139">
                  <c:v>44958</c:v>
                </c:pt>
                <c:pt idx="140">
                  <c:v>44986</c:v>
                </c:pt>
                <c:pt idx="141">
                  <c:v>45017</c:v>
                </c:pt>
                <c:pt idx="142">
                  <c:v>45047</c:v>
                </c:pt>
                <c:pt idx="143">
                  <c:v>45078</c:v>
                </c:pt>
                <c:pt idx="144">
                  <c:v>45108</c:v>
                </c:pt>
                <c:pt idx="145">
                  <c:v>45139</c:v>
                </c:pt>
                <c:pt idx="146">
                  <c:v>45170</c:v>
                </c:pt>
                <c:pt idx="147">
                  <c:v>45200</c:v>
                </c:pt>
                <c:pt idx="148">
                  <c:v>45231</c:v>
                </c:pt>
                <c:pt idx="149">
                  <c:v>45261</c:v>
                </c:pt>
                <c:pt idx="150">
                  <c:v>45292</c:v>
                </c:pt>
                <c:pt idx="151">
                  <c:v>45323</c:v>
                </c:pt>
                <c:pt idx="152">
                  <c:v>45352</c:v>
                </c:pt>
                <c:pt idx="153">
                  <c:v>45383</c:v>
                </c:pt>
                <c:pt idx="154">
                  <c:v>45413</c:v>
                </c:pt>
                <c:pt idx="155">
                  <c:v>45444</c:v>
                </c:pt>
                <c:pt idx="156">
                  <c:v>45474</c:v>
                </c:pt>
                <c:pt idx="157">
                  <c:v>45505</c:v>
                </c:pt>
                <c:pt idx="158">
                  <c:v>45536</c:v>
                </c:pt>
                <c:pt idx="159">
                  <c:v>45566</c:v>
                </c:pt>
                <c:pt idx="160">
                  <c:v>45597</c:v>
                </c:pt>
                <c:pt idx="161">
                  <c:v>45627</c:v>
                </c:pt>
                <c:pt idx="162">
                  <c:v>45658</c:v>
                </c:pt>
                <c:pt idx="163">
                  <c:v>45689</c:v>
                </c:pt>
                <c:pt idx="164">
                  <c:v>45717</c:v>
                </c:pt>
                <c:pt idx="165">
                  <c:v>45748</c:v>
                </c:pt>
                <c:pt idx="166">
                  <c:v>45778</c:v>
                </c:pt>
                <c:pt idx="167">
                  <c:v>45809</c:v>
                </c:pt>
                <c:pt idx="168">
                  <c:v>45839</c:v>
                </c:pt>
                <c:pt idx="169">
                  <c:v>45870</c:v>
                </c:pt>
                <c:pt idx="170">
                  <c:v>45901</c:v>
                </c:pt>
                <c:pt idx="171">
                  <c:v>45931</c:v>
                </c:pt>
                <c:pt idx="172">
                  <c:v>45962</c:v>
                </c:pt>
                <c:pt idx="173">
                  <c:v>45992</c:v>
                </c:pt>
              </c:numCache>
            </c:numRef>
          </c:cat>
          <c:val>
            <c:numRef>
              <c:f>'Q2 EMA'!$C$8:$C$181</c:f>
              <c:numCache>
                <c:formatCode>General</c:formatCode>
                <c:ptCount val="174"/>
                <c:pt idx="0">
                  <c:v>513327590.21728009</c:v>
                </c:pt>
                <c:pt idx="1">
                  <c:v>515895295.7738241</c:v>
                </c:pt>
                <c:pt idx="2">
                  <c:v>516885234.47905934</c:v>
                </c:pt>
                <c:pt idx="3">
                  <c:v>510447041.16324747</c:v>
                </c:pt>
                <c:pt idx="4">
                  <c:v>507269750.23059803</c:v>
                </c:pt>
                <c:pt idx="5">
                  <c:v>502163118.48447847</c:v>
                </c:pt>
                <c:pt idx="6">
                  <c:v>494907139.8675828</c:v>
                </c:pt>
                <c:pt idx="7">
                  <c:v>533914195.31406629</c:v>
                </c:pt>
                <c:pt idx="8">
                  <c:v>556098761.45125306</c:v>
                </c:pt>
                <c:pt idx="9">
                  <c:v>589227096.88100243</c:v>
                </c:pt>
                <c:pt idx="10">
                  <c:v>639391391.44480205</c:v>
                </c:pt>
                <c:pt idx="11">
                  <c:v>692818481.85584164</c:v>
                </c:pt>
                <c:pt idx="12">
                  <c:v>742887381.98467338</c:v>
                </c:pt>
                <c:pt idx="13">
                  <c:v>783784481.52773881</c:v>
                </c:pt>
                <c:pt idx="14">
                  <c:v>820965653.78219104</c:v>
                </c:pt>
                <c:pt idx="15">
                  <c:v>847943584.9057529</c:v>
                </c:pt>
                <c:pt idx="16">
                  <c:v>860315270.1646024</c:v>
                </c:pt>
                <c:pt idx="17">
                  <c:v>860282512.51168191</c:v>
                </c:pt>
                <c:pt idx="18">
                  <c:v>860115443.02934551</c:v>
                </c:pt>
                <c:pt idx="19">
                  <c:v>873275831.66347647</c:v>
                </c:pt>
                <c:pt idx="20">
                  <c:v>850890107.43078125</c:v>
                </c:pt>
                <c:pt idx="21">
                  <c:v>848700776.464625</c:v>
                </c:pt>
                <c:pt idx="22">
                  <c:v>852142040.1717</c:v>
                </c:pt>
                <c:pt idx="23">
                  <c:v>861891429.23736012</c:v>
                </c:pt>
                <c:pt idx="24">
                  <c:v>878936101.94988823</c:v>
                </c:pt>
                <c:pt idx="25">
                  <c:v>879999532.33991063</c:v>
                </c:pt>
                <c:pt idx="26">
                  <c:v>895873680.95192862</c:v>
                </c:pt>
                <c:pt idx="27">
                  <c:v>907383734.24154294</c:v>
                </c:pt>
                <c:pt idx="28">
                  <c:v>895029074.73323441</c:v>
                </c:pt>
                <c:pt idx="29">
                  <c:v>890253581.86658764</c:v>
                </c:pt>
                <c:pt idx="30">
                  <c:v>894344146.13327014</c:v>
                </c:pt>
                <c:pt idx="31">
                  <c:v>899123030.36661625</c:v>
                </c:pt>
                <c:pt idx="32">
                  <c:v>869544630.31329298</c:v>
                </c:pt>
                <c:pt idx="33">
                  <c:v>871053795.29063439</c:v>
                </c:pt>
                <c:pt idx="34">
                  <c:v>879105451.99250758</c:v>
                </c:pt>
                <c:pt idx="35">
                  <c:v>898855312.97400606</c:v>
                </c:pt>
                <c:pt idx="36">
                  <c:v>913005103.81920493</c:v>
                </c:pt>
                <c:pt idx="37">
                  <c:v>933913596.45536399</c:v>
                </c:pt>
                <c:pt idx="38">
                  <c:v>952564029.56429124</c:v>
                </c:pt>
                <c:pt idx="39">
                  <c:v>968307035.25143301</c:v>
                </c:pt>
                <c:pt idx="40">
                  <c:v>973464246.76114655</c:v>
                </c:pt>
                <c:pt idx="41">
                  <c:v>965244388.02891731</c:v>
                </c:pt>
                <c:pt idx="42">
                  <c:v>970726832.16313386</c:v>
                </c:pt>
                <c:pt idx="43">
                  <c:v>962726764.7705071</c:v>
                </c:pt>
                <c:pt idx="44">
                  <c:v>944131319.93640578</c:v>
                </c:pt>
                <c:pt idx="45">
                  <c:v>937083378.60912466</c:v>
                </c:pt>
                <c:pt idx="46">
                  <c:v>924211547.08729982</c:v>
                </c:pt>
                <c:pt idx="47">
                  <c:v>923951801.06983984</c:v>
                </c:pt>
                <c:pt idx="48">
                  <c:v>921870572.09587193</c:v>
                </c:pt>
                <c:pt idx="49">
                  <c:v>905062829.75669765</c:v>
                </c:pt>
                <c:pt idx="50">
                  <c:v>895400793.34535813</c:v>
                </c:pt>
                <c:pt idx="51">
                  <c:v>875852149.7762866</c:v>
                </c:pt>
                <c:pt idx="52">
                  <c:v>854045712.86102939</c:v>
                </c:pt>
                <c:pt idx="53">
                  <c:v>841217144.64882362</c:v>
                </c:pt>
                <c:pt idx="54">
                  <c:v>821354373.77905893</c:v>
                </c:pt>
                <c:pt idx="55">
                  <c:v>804777732.76324725</c:v>
                </c:pt>
                <c:pt idx="56">
                  <c:v>779845433.71059787</c:v>
                </c:pt>
                <c:pt idx="57">
                  <c:v>758370944.44847834</c:v>
                </c:pt>
                <c:pt idx="58">
                  <c:v>742629334.75878274</c:v>
                </c:pt>
                <c:pt idx="59">
                  <c:v>751069924.68702626</c:v>
                </c:pt>
                <c:pt idx="60">
                  <c:v>750978692.82962108</c:v>
                </c:pt>
                <c:pt idx="61">
                  <c:v>754598070.68369699</c:v>
                </c:pt>
                <c:pt idx="62">
                  <c:v>761615835.02695763</c:v>
                </c:pt>
                <c:pt idx="63">
                  <c:v>770326629.20156622</c:v>
                </c:pt>
                <c:pt idx="64">
                  <c:v>774122144.00125301</c:v>
                </c:pt>
                <c:pt idx="65">
                  <c:v>795183992.6810025</c:v>
                </c:pt>
                <c:pt idx="66">
                  <c:v>809908896.00480199</c:v>
                </c:pt>
                <c:pt idx="67">
                  <c:v>832209241.4238416</c:v>
                </c:pt>
                <c:pt idx="68">
                  <c:v>819240038.61907339</c:v>
                </c:pt>
                <c:pt idx="69">
                  <c:v>823096395.17525876</c:v>
                </c:pt>
                <c:pt idx="70">
                  <c:v>827712693.64020705</c:v>
                </c:pt>
                <c:pt idx="71">
                  <c:v>864206824.31216562</c:v>
                </c:pt>
                <c:pt idx="72">
                  <c:v>885210409.06973255</c:v>
                </c:pt>
                <c:pt idx="73">
                  <c:v>916488445.45578611</c:v>
                </c:pt>
                <c:pt idx="74">
                  <c:v>942645344.56462896</c:v>
                </c:pt>
                <c:pt idx="75">
                  <c:v>951323015.29170322</c:v>
                </c:pt>
                <c:pt idx="76">
                  <c:v>948323972.89336264</c:v>
                </c:pt>
                <c:pt idx="77">
                  <c:v>945417584.15469015</c:v>
                </c:pt>
                <c:pt idx="78">
                  <c:v>946529077.82375216</c:v>
                </c:pt>
                <c:pt idx="79">
                  <c:v>955029736.4390018</c:v>
                </c:pt>
                <c:pt idx="80">
                  <c:v>951578641.07120156</c:v>
                </c:pt>
                <c:pt idx="81">
                  <c:v>940086488.97696126</c:v>
                </c:pt>
                <c:pt idx="82">
                  <c:v>938316200.78156912</c:v>
                </c:pt>
                <c:pt idx="83">
                  <c:v>951677821.82525539</c:v>
                </c:pt>
                <c:pt idx="84">
                  <c:v>967628441.06020439</c:v>
                </c:pt>
                <c:pt idx="85">
                  <c:v>991924097.44816363</c:v>
                </c:pt>
                <c:pt idx="86">
                  <c:v>1013226706.7585309</c:v>
                </c:pt>
                <c:pt idx="87">
                  <c:v>1030062542.4068247</c:v>
                </c:pt>
                <c:pt idx="88">
                  <c:v>1041125823.5254599</c:v>
                </c:pt>
                <c:pt idx="89">
                  <c:v>1063246052.020368</c:v>
                </c:pt>
                <c:pt idx="90">
                  <c:v>1088935594.6162944</c:v>
                </c:pt>
                <c:pt idx="91">
                  <c:v>1103263681.6930356</c:v>
                </c:pt>
                <c:pt idx="92">
                  <c:v>1076536925.3744285</c:v>
                </c:pt>
                <c:pt idx="93">
                  <c:v>1070959740.8995429</c:v>
                </c:pt>
                <c:pt idx="94">
                  <c:v>1071364902.3196344</c:v>
                </c:pt>
                <c:pt idx="95">
                  <c:v>1083291160.2557077</c:v>
                </c:pt>
                <c:pt idx="96">
                  <c:v>1105948071.0045662</c:v>
                </c:pt>
                <c:pt idx="97">
                  <c:v>1117307660.603653</c:v>
                </c:pt>
                <c:pt idx="98">
                  <c:v>1116325910.6829224</c:v>
                </c:pt>
                <c:pt idx="99">
                  <c:v>1117375204.146338</c:v>
                </c:pt>
                <c:pt idx="100">
                  <c:v>1113462123.5170705</c:v>
                </c:pt>
                <c:pt idx="101">
                  <c:v>1114928398.2136564</c:v>
                </c:pt>
                <c:pt idx="102">
                  <c:v>1119882372.3709252</c:v>
                </c:pt>
                <c:pt idx="103">
                  <c:v>1144203491.4967403</c:v>
                </c:pt>
                <c:pt idx="104">
                  <c:v>1098393365.2173924</c:v>
                </c:pt>
                <c:pt idx="105">
                  <c:v>1084950434.5739141</c:v>
                </c:pt>
                <c:pt idx="106">
                  <c:v>1068975941.4591312</c:v>
                </c:pt>
                <c:pt idx="107">
                  <c:v>1051877051.187305</c:v>
                </c:pt>
                <c:pt idx="108">
                  <c:v>1058290488.7498441</c:v>
                </c:pt>
                <c:pt idx="109">
                  <c:v>1086220903.5998755</c:v>
                </c:pt>
                <c:pt idx="110">
                  <c:v>1129533838.0799005</c:v>
                </c:pt>
                <c:pt idx="111">
                  <c:v>1175946318.4639206</c:v>
                </c:pt>
                <c:pt idx="112">
                  <c:v>1236450052.5711365</c:v>
                </c:pt>
                <c:pt idx="113">
                  <c:v>1292280275.0569091</c:v>
                </c:pt>
                <c:pt idx="114">
                  <c:v>1405640765.8455274</c:v>
                </c:pt>
                <c:pt idx="115">
                  <c:v>1563652762.4764218</c:v>
                </c:pt>
                <c:pt idx="116">
                  <c:v>1693403663.1811376</c:v>
                </c:pt>
                <c:pt idx="117">
                  <c:v>1820028317.1449103</c:v>
                </c:pt>
                <c:pt idx="118">
                  <c:v>1911743282.3159285</c:v>
                </c:pt>
                <c:pt idx="119">
                  <c:v>2057091141.052743</c:v>
                </c:pt>
                <c:pt idx="120">
                  <c:v>2244030246.4421945</c:v>
                </c:pt>
                <c:pt idx="121">
                  <c:v>2478248824.7537556</c:v>
                </c:pt>
                <c:pt idx="122">
                  <c:v>2753608953.0030046</c:v>
                </c:pt>
                <c:pt idx="123">
                  <c:v>2982459719.0024037</c:v>
                </c:pt>
                <c:pt idx="124">
                  <c:v>3181178009.2019229</c:v>
                </c:pt>
                <c:pt idx="125">
                  <c:v>3324437324.3615384</c:v>
                </c:pt>
                <c:pt idx="126">
                  <c:v>3456241210.6892309</c:v>
                </c:pt>
                <c:pt idx="127">
                  <c:v>3667823281.3513851</c:v>
                </c:pt>
                <c:pt idx="128">
                  <c:v>3739360522.4811082</c:v>
                </c:pt>
                <c:pt idx="129">
                  <c:v>3841288010.1848869</c:v>
                </c:pt>
                <c:pt idx="130">
                  <c:v>3881390844.5479097</c:v>
                </c:pt>
                <c:pt idx="131">
                  <c:v>3898539097.238328</c:v>
                </c:pt>
                <c:pt idx="132">
                  <c:v>3958166185.9906626</c:v>
                </c:pt>
                <c:pt idx="133">
                  <c:v>3993234783.5925303</c:v>
                </c:pt>
                <c:pt idx="134">
                  <c:v>3951320473.2740245</c:v>
                </c:pt>
                <c:pt idx="135">
                  <c:v>3780659797.0192199</c:v>
                </c:pt>
                <c:pt idx="136">
                  <c:v>3553947706.8153763</c:v>
                </c:pt>
                <c:pt idx="137">
                  <c:v>3279837416.6523008</c:v>
                </c:pt>
                <c:pt idx="138">
                  <c:v>2995310218.9218407</c:v>
                </c:pt>
                <c:pt idx="139">
                  <c:v>2714475922.7374725</c:v>
                </c:pt>
                <c:pt idx="140">
                  <c:v>2418774945.9899783</c:v>
                </c:pt>
                <c:pt idx="141">
                  <c:v>2220150052.5919828</c:v>
                </c:pt>
                <c:pt idx="142">
                  <c:v>2047708520.6735864</c:v>
                </c:pt>
                <c:pt idx="143">
                  <c:v>1915825630.9388692</c:v>
                </c:pt>
                <c:pt idx="144">
                  <c:v>1809860634.5510955</c:v>
                </c:pt>
                <c:pt idx="145">
                  <c:v>1724242627.4408765</c:v>
                </c:pt>
                <c:pt idx="146">
                  <c:v>1666709361.5527015</c:v>
                </c:pt>
                <c:pt idx="147">
                  <c:v>1613923527.0421612</c:v>
                </c:pt>
                <c:pt idx="148">
                  <c:v>1567879772.0337291</c:v>
                </c:pt>
                <c:pt idx="149">
                  <c:v>1523986322.0269835</c:v>
                </c:pt>
                <c:pt idx="150">
                  <c:v>1485933336.8215868</c:v>
                </c:pt>
                <c:pt idx="151">
                  <c:v>1510951441.8572695</c:v>
                </c:pt>
                <c:pt idx="152">
                  <c:v>1543822565.6858158</c:v>
                </c:pt>
                <c:pt idx="153">
                  <c:v>1584627317.3486526</c:v>
                </c:pt>
                <c:pt idx="154">
                  <c:v>1635648344.8789222</c:v>
                </c:pt>
                <c:pt idx="155">
                  <c:v>1699902438.103138</c:v>
                </c:pt>
                <c:pt idx="156">
                  <c:v>1875564847.0825105</c:v>
                </c:pt>
                <c:pt idx="157">
                  <c:v>2112783118.0660086</c:v>
                </c:pt>
                <c:pt idx="158">
                  <c:v>2303407936.2528071</c:v>
                </c:pt>
                <c:pt idx="159">
                  <c:v>2350751993.2022457</c:v>
                </c:pt>
                <c:pt idx="160">
                  <c:v>2343619910.1617966</c:v>
                </c:pt>
                <c:pt idx="161">
                  <c:v>2288910277.3294373</c:v>
                </c:pt>
                <c:pt idx="162">
                  <c:v>2259535344.06355</c:v>
                </c:pt>
                <c:pt idx="163">
                  <c:v>2260938875.2508402</c:v>
                </c:pt>
                <c:pt idx="164">
                  <c:v>2171932900.2006721</c:v>
                </c:pt>
                <c:pt idx="165">
                  <c:v>2092448720.1605377</c:v>
                </c:pt>
                <c:pt idx="166">
                  <c:v>2004458776.1284304</c:v>
                </c:pt>
                <c:pt idx="167">
                  <c:v>1934173420.9027443</c:v>
                </c:pt>
                <c:pt idx="168">
                  <c:v>1925148536.7221956</c:v>
                </c:pt>
                <c:pt idx="169">
                  <c:v>1959733429.3777566</c:v>
                </c:pt>
                <c:pt idx="170">
                  <c:v>1954831343.5022054</c:v>
                </c:pt>
                <c:pt idx="171">
                  <c:v>1918659074.8017645</c:v>
                </c:pt>
                <c:pt idx="172">
                  <c:v>1856963059.8414116</c:v>
                </c:pt>
                <c:pt idx="173">
                  <c:v>1814357247.8731294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2B-41FE-AE04-3620357CC642}"/>
            </c:ext>
          </c:extLst>
        </c:ser>
        <c:ser>
          <c:idx val="2"/>
          <c:order val="2"/>
          <c:tx>
            <c:strRef>
              <c:f>'Q2 EMA'!$D$1</c:f>
              <c:strCache>
                <c:ptCount val="1"/>
                <c:pt idx="0">
                  <c:v>0.4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dLbls>
            <c:delete val="1"/>
          </c:dLbls>
          <c:cat>
            <c:numRef>
              <c:f>'Q2 EMA'!$A$8:$A$181</c:f>
              <c:numCache>
                <c:formatCode>m/d/yyyy</c:formatCode>
                <c:ptCount val="174"/>
                <c:pt idx="0">
                  <c:v>40725</c:v>
                </c:pt>
                <c:pt idx="1">
                  <c:v>40756</c:v>
                </c:pt>
                <c:pt idx="2">
                  <c:v>40787</c:v>
                </c:pt>
                <c:pt idx="3">
                  <c:v>40817</c:v>
                </c:pt>
                <c:pt idx="4">
                  <c:v>40848</c:v>
                </c:pt>
                <c:pt idx="5">
                  <c:v>40878</c:v>
                </c:pt>
                <c:pt idx="6">
                  <c:v>40909</c:v>
                </c:pt>
                <c:pt idx="7">
                  <c:v>40940</c:v>
                </c:pt>
                <c:pt idx="8">
                  <c:v>40969</c:v>
                </c:pt>
                <c:pt idx="9">
                  <c:v>41000</c:v>
                </c:pt>
                <c:pt idx="10">
                  <c:v>41030</c:v>
                </c:pt>
                <c:pt idx="11">
                  <c:v>41061</c:v>
                </c:pt>
                <c:pt idx="12">
                  <c:v>41091</c:v>
                </c:pt>
                <c:pt idx="13">
                  <c:v>41122</c:v>
                </c:pt>
                <c:pt idx="14">
                  <c:v>41153</c:v>
                </c:pt>
                <c:pt idx="15">
                  <c:v>41183</c:v>
                </c:pt>
                <c:pt idx="16">
                  <c:v>41214</c:v>
                </c:pt>
                <c:pt idx="17">
                  <c:v>41244</c:v>
                </c:pt>
                <c:pt idx="18">
                  <c:v>41275</c:v>
                </c:pt>
                <c:pt idx="19">
                  <c:v>41306</c:v>
                </c:pt>
                <c:pt idx="20">
                  <c:v>41334</c:v>
                </c:pt>
                <c:pt idx="21">
                  <c:v>41365</c:v>
                </c:pt>
                <c:pt idx="22">
                  <c:v>41395</c:v>
                </c:pt>
                <c:pt idx="23">
                  <c:v>41426</c:v>
                </c:pt>
                <c:pt idx="24">
                  <c:v>41456</c:v>
                </c:pt>
                <c:pt idx="25">
                  <c:v>41487</c:v>
                </c:pt>
                <c:pt idx="26">
                  <c:v>41518</c:v>
                </c:pt>
                <c:pt idx="27">
                  <c:v>41548</c:v>
                </c:pt>
                <c:pt idx="28">
                  <c:v>41579</c:v>
                </c:pt>
                <c:pt idx="29">
                  <c:v>41609</c:v>
                </c:pt>
                <c:pt idx="30">
                  <c:v>41640</c:v>
                </c:pt>
                <c:pt idx="31">
                  <c:v>41671</c:v>
                </c:pt>
                <c:pt idx="32">
                  <c:v>41699</c:v>
                </c:pt>
                <c:pt idx="33">
                  <c:v>41730</c:v>
                </c:pt>
                <c:pt idx="34">
                  <c:v>41760</c:v>
                </c:pt>
                <c:pt idx="35">
                  <c:v>41791</c:v>
                </c:pt>
                <c:pt idx="36">
                  <c:v>41821</c:v>
                </c:pt>
                <c:pt idx="37">
                  <c:v>41852</c:v>
                </c:pt>
                <c:pt idx="38">
                  <c:v>41883</c:v>
                </c:pt>
                <c:pt idx="39">
                  <c:v>41913</c:v>
                </c:pt>
                <c:pt idx="40">
                  <c:v>41944</c:v>
                </c:pt>
                <c:pt idx="41">
                  <c:v>41974</c:v>
                </c:pt>
                <c:pt idx="42">
                  <c:v>42005</c:v>
                </c:pt>
                <c:pt idx="43">
                  <c:v>42036</c:v>
                </c:pt>
                <c:pt idx="44">
                  <c:v>42064</c:v>
                </c:pt>
                <c:pt idx="45">
                  <c:v>42095</c:v>
                </c:pt>
                <c:pt idx="46">
                  <c:v>42125</c:v>
                </c:pt>
                <c:pt idx="47">
                  <c:v>42156</c:v>
                </c:pt>
                <c:pt idx="48">
                  <c:v>42186</c:v>
                </c:pt>
                <c:pt idx="49">
                  <c:v>42217</c:v>
                </c:pt>
                <c:pt idx="50">
                  <c:v>42248</c:v>
                </c:pt>
                <c:pt idx="51">
                  <c:v>42278</c:v>
                </c:pt>
                <c:pt idx="52">
                  <c:v>42309</c:v>
                </c:pt>
                <c:pt idx="53">
                  <c:v>42339</c:v>
                </c:pt>
                <c:pt idx="54">
                  <c:v>42370</c:v>
                </c:pt>
                <c:pt idx="55">
                  <c:v>42401</c:v>
                </c:pt>
                <c:pt idx="56">
                  <c:v>42430</c:v>
                </c:pt>
                <c:pt idx="57">
                  <c:v>42461</c:v>
                </c:pt>
                <c:pt idx="58">
                  <c:v>42491</c:v>
                </c:pt>
                <c:pt idx="59">
                  <c:v>42522</c:v>
                </c:pt>
                <c:pt idx="60">
                  <c:v>42552</c:v>
                </c:pt>
                <c:pt idx="61">
                  <c:v>42583</c:v>
                </c:pt>
                <c:pt idx="62">
                  <c:v>42614</c:v>
                </c:pt>
                <c:pt idx="63">
                  <c:v>42644</c:v>
                </c:pt>
                <c:pt idx="64">
                  <c:v>42675</c:v>
                </c:pt>
                <c:pt idx="65">
                  <c:v>42705</c:v>
                </c:pt>
                <c:pt idx="66">
                  <c:v>42736</c:v>
                </c:pt>
                <c:pt idx="67">
                  <c:v>42767</c:v>
                </c:pt>
                <c:pt idx="68">
                  <c:v>42795</c:v>
                </c:pt>
                <c:pt idx="69">
                  <c:v>42826</c:v>
                </c:pt>
                <c:pt idx="70">
                  <c:v>42856</c:v>
                </c:pt>
                <c:pt idx="71">
                  <c:v>42887</c:v>
                </c:pt>
                <c:pt idx="72">
                  <c:v>42917</c:v>
                </c:pt>
                <c:pt idx="73">
                  <c:v>42948</c:v>
                </c:pt>
                <c:pt idx="74">
                  <c:v>42979</c:v>
                </c:pt>
                <c:pt idx="75">
                  <c:v>43009</c:v>
                </c:pt>
                <c:pt idx="76">
                  <c:v>43040</c:v>
                </c:pt>
                <c:pt idx="77">
                  <c:v>43070</c:v>
                </c:pt>
                <c:pt idx="78">
                  <c:v>43101</c:v>
                </c:pt>
                <c:pt idx="79">
                  <c:v>43132</c:v>
                </c:pt>
                <c:pt idx="80">
                  <c:v>43160</c:v>
                </c:pt>
                <c:pt idx="81">
                  <c:v>43191</c:v>
                </c:pt>
                <c:pt idx="82">
                  <c:v>43221</c:v>
                </c:pt>
                <c:pt idx="83">
                  <c:v>43252</c:v>
                </c:pt>
                <c:pt idx="84">
                  <c:v>43282</c:v>
                </c:pt>
                <c:pt idx="85">
                  <c:v>43313</c:v>
                </c:pt>
                <c:pt idx="86">
                  <c:v>43344</c:v>
                </c:pt>
                <c:pt idx="87">
                  <c:v>43374</c:v>
                </c:pt>
                <c:pt idx="88">
                  <c:v>43405</c:v>
                </c:pt>
                <c:pt idx="89">
                  <c:v>43435</c:v>
                </c:pt>
                <c:pt idx="90">
                  <c:v>43466</c:v>
                </c:pt>
                <c:pt idx="91">
                  <c:v>43497</c:v>
                </c:pt>
                <c:pt idx="92">
                  <c:v>43525</c:v>
                </c:pt>
                <c:pt idx="93">
                  <c:v>43556</c:v>
                </c:pt>
                <c:pt idx="94">
                  <c:v>43586</c:v>
                </c:pt>
                <c:pt idx="95">
                  <c:v>43617</c:v>
                </c:pt>
                <c:pt idx="96">
                  <c:v>43647</c:v>
                </c:pt>
                <c:pt idx="97">
                  <c:v>43678</c:v>
                </c:pt>
                <c:pt idx="98">
                  <c:v>43709</c:v>
                </c:pt>
                <c:pt idx="99">
                  <c:v>43739</c:v>
                </c:pt>
                <c:pt idx="100">
                  <c:v>43770</c:v>
                </c:pt>
                <c:pt idx="101">
                  <c:v>43800</c:v>
                </c:pt>
                <c:pt idx="102">
                  <c:v>43831</c:v>
                </c:pt>
                <c:pt idx="103">
                  <c:v>43862</c:v>
                </c:pt>
                <c:pt idx="104">
                  <c:v>43891</c:v>
                </c:pt>
                <c:pt idx="105">
                  <c:v>43922</c:v>
                </c:pt>
                <c:pt idx="106">
                  <c:v>43952</c:v>
                </c:pt>
                <c:pt idx="107">
                  <c:v>43983</c:v>
                </c:pt>
                <c:pt idx="108">
                  <c:v>44013</c:v>
                </c:pt>
                <c:pt idx="109">
                  <c:v>44044</c:v>
                </c:pt>
                <c:pt idx="110">
                  <c:v>44075</c:v>
                </c:pt>
                <c:pt idx="111">
                  <c:v>44105</c:v>
                </c:pt>
                <c:pt idx="112">
                  <c:v>44136</c:v>
                </c:pt>
                <c:pt idx="113">
                  <c:v>44166</c:v>
                </c:pt>
                <c:pt idx="114">
                  <c:v>44197</c:v>
                </c:pt>
                <c:pt idx="115">
                  <c:v>44228</c:v>
                </c:pt>
                <c:pt idx="116">
                  <c:v>44256</c:v>
                </c:pt>
                <c:pt idx="117">
                  <c:v>44287</c:v>
                </c:pt>
                <c:pt idx="118">
                  <c:v>44317</c:v>
                </c:pt>
                <c:pt idx="119">
                  <c:v>44348</c:v>
                </c:pt>
                <c:pt idx="120">
                  <c:v>44378</c:v>
                </c:pt>
                <c:pt idx="121">
                  <c:v>44409</c:v>
                </c:pt>
                <c:pt idx="122">
                  <c:v>44440</c:v>
                </c:pt>
                <c:pt idx="123">
                  <c:v>44470</c:v>
                </c:pt>
                <c:pt idx="124">
                  <c:v>44501</c:v>
                </c:pt>
                <c:pt idx="125">
                  <c:v>44531</c:v>
                </c:pt>
                <c:pt idx="126">
                  <c:v>44562</c:v>
                </c:pt>
                <c:pt idx="127">
                  <c:v>44593</c:v>
                </c:pt>
                <c:pt idx="128">
                  <c:v>44621</c:v>
                </c:pt>
                <c:pt idx="129">
                  <c:v>44652</c:v>
                </c:pt>
                <c:pt idx="130">
                  <c:v>44682</c:v>
                </c:pt>
                <c:pt idx="131">
                  <c:v>44713</c:v>
                </c:pt>
                <c:pt idx="132">
                  <c:v>44743</c:v>
                </c:pt>
                <c:pt idx="133">
                  <c:v>44774</c:v>
                </c:pt>
                <c:pt idx="134">
                  <c:v>44805</c:v>
                </c:pt>
                <c:pt idx="135">
                  <c:v>44835</c:v>
                </c:pt>
                <c:pt idx="136">
                  <c:v>44866</c:v>
                </c:pt>
                <c:pt idx="137">
                  <c:v>44896</c:v>
                </c:pt>
                <c:pt idx="138">
                  <c:v>44927</c:v>
                </c:pt>
                <c:pt idx="139">
                  <c:v>44958</c:v>
                </c:pt>
                <c:pt idx="140">
                  <c:v>44986</c:v>
                </c:pt>
                <c:pt idx="141">
                  <c:v>45017</c:v>
                </c:pt>
                <c:pt idx="142">
                  <c:v>45047</c:v>
                </c:pt>
                <c:pt idx="143">
                  <c:v>45078</c:v>
                </c:pt>
                <c:pt idx="144">
                  <c:v>45108</c:v>
                </c:pt>
                <c:pt idx="145">
                  <c:v>45139</c:v>
                </c:pt>
                <c:pt idx="146">
                  <c:v>45170</c:v>
                </c:pt>
                <c:pt idx="147">
                  <c:v>45200</c:v>
                </c:pt>
                <c:pt idx="148">
                  <c:v>45231</c:v>
                </c:pt>
                <c:pt idx="149">
                  <c:v>45261</c:v>
                </c:pt>
                <c:pt idx="150">
                  <c:v>45292</c:v>
                </c:pt>
                <c:pt idx="151">
                  <c:v>45323</c:v>
                </c:pt>
                <c:pt idx="152">
                  <c:v>45352</c:v>
                </c:pt>
                <c:pt idx="153">
                  <c:v>45383</c:v>
                </c:pt>
                <c:pt idx="154">
                  <c:v>45413</c:v>
                </c:pt>
                <c:pt idx="155">
                  <c:v>45444</c:v>
                </c:pt>
                <c:pt idx="156">
                  <c:v>45474</c:v>
                </c:pt>
                <c:pt idx="157">
                  <c:v>45505</c:v>
                </c:pt>
                <c:pt idx="158">
                  <c:v>45536</c:v>
                </c:pt>
                <c:pt idx="159">
                  <c:v>45566</c:v>
                </c:pt>
                <c:pt idx="160">
                  <c:v>45597</c:v>
                </c:pt>
                <c:pt idx="161">
                  <c:v>45627</c:v>
                </c:pt>
                <c:pt idx="162">
                  <c:v>45658</c:v>
                </c:pt>
                <c:pt idx="163">
                  <c:v>45689</c:v>
                </c:pt>
                <c:pt idx="164">
                  <c:v>45717</c:v>
                </c:pt>
                <c:pt idx="165">
                  <c:v>45748</c:v>
                </c:pt>
                <c:pt idx="166">
                  <c:v>45778</c:v>
                </c:pt>
                <c:pt idx="167">
                  <c:v>45809</c:v>
                </c:pt>
                <c:pt idx="168">
                  <c:v>45839</c:v>
                </c:pt>
                <c:pt idx="169">
                  <c:v>45870</c:v>
                </c:pt>
                <c:pt idx="170">
                  <c:v>45901</c:v>
                </c:pt>
                <c:pt idx="171">
                  <c:v>45931</c:v>
                </c:pt>
                <c:pt idx="172">
                  <c:v>45962</c:v>
                </c:pt>
                <c:pt idx="173">
                  <c:v>45992</c:v>
                </c:pt>
              </c:numCache>
            </c:numRef>
          </c:cat>
          <c:val>
            <c:numRef>
              <c:f>'Q2 EMA'!$D$8:$D$181</c:f>
              <c:numCache>
                <c:formatCode>General</c:formatCode>
                <c:ptCount val="174"/>
                <c:pt idx="0">
                  <c:v>516412720.76463997</c:v>
                </c:pt>
                <c:pt idx="1">
                  <c:v>520314079.65878403</c:v>
                </c:pt>
                <c:pt idx="2">
                  <c:v>520526443.51527041</c:v>
                </c:pt>
                <c:pt idx="3">
                  <c:v>506193573.26916218</c:v>
                </c:pt>
                <c:pt idx="4">
                  <c:v>501540378.56149733</c:v>
                </c:pt>
                <c:pt idx="5">
                  <c:v>493618863.73689842</c:v>
                </c:pt>
                <c:pt idx="6">
                  <c:v>482524608.40213907</c:v>
                </c:pt>
                <c:pt idx="7">
                  <c:v>565491731.88128352</c:v>
                </c:pt>
                <c:pt idx="8">
                  <c:v>597229849.52877009</c:v>
                </c:pt>
                <c:pt idx="9">
                  <c:v>647034085.15726209</c:v>
                </c:pt>
                <c:pt idx="10">
                  <c:v>724239878.97435737</c:v>
                </c:pt>
                <c:pt idx="11">
                  <c:v>797154664.78461444</c:v>
                </c:pt>
                <c:pt idx="12">
                  <c:v>855557991.87076867</c:v>
                </c:pt>
                <c:pt idx="13">
                  <c:v>892283947.00246119</c:v>
                </c:pt>
                <c:pt idx="14">
                  <c:v>923246505.3214767</c:v>
                </c:pt>
                <c:pt idx="15">
                  <c:v>936290026.95288599</c:v>
                </c:pt>
                <c:pt idx="16">
                  <c:v>925694820.65173161</c:v>
                </c:pt>
                <c:pt idx="17">
                  <c:v>899477485.15103889</c:v>
                </c:pt>
                <c:pt idx="18">
                  <c:v>883465357.13062334</c:v>
                </c:pt>
                <c:pt idx="19">
                  <c:v>900446168.75837398</c:v>
                </c:pt>
                <c:pt idx="20">
                  <c:v>844806585.45502424</c:v>
                </c:pt>
                <c:pt idx="21">
                  <c:v>842861332.31301451</c:v>
                </c:pt>
                <c:pt idx="22">
                  <c:v>852079637.38780868</c:v>
                </c:pt>
                <c:pt idx="23">
                  <c:v>871603376.63268518</c:v>
                </c:pt>
                <c:pt idx="24">
                  <c:v>901807943.09961104</c:v>
                </c:pt>
                <c:pt idx="25">
                  <c:v>894786067.41976666</c:v>
                </c:pt>
                <c:pt idx="26">
                  <c:v>920619750.61186004</c:v>
                </c:pt>
                <c:pt idx="27">
                  <c:v>933741429.32711601</c:v>
                </c:pt>
                <c:pt idx="28">
                  <c:v>898489032.27626967</c:v>
                </c:pt>
                <c:pt idx="29">
                  <c:v>887554063.52576184</c:v>
                </c:pt>
                <c:pt idx="30">
                  <c:v>896814999.39545703</c:v>
                </c:pt>
                <c:pt idx="31">
                  <c:v>905384426.5572741</c:v>
                </c:pt>
                <c:pt idx="32">
                  <c:v>843723067.97436452</c:v>
                </c:pt>
                <c:pt idx="33">
                  <c:v>857070022.86461878</c:v>
                </c:pt>
                <c:pt idx="34">
                  <c:v>878766845.2387712</c:v>
                </c:pt>
                <c:pt idx="35">
                  <c:v>918402009.90326262</c:v>
                </c:pt>
                <c:pt idx="36">
                  <c:v>938882912.82195759</c:v>
                </c:pt>
                <c:pt idx="37">
                  <c:v>970348774.49317455</c:v>
                </c:pt>
                <c:pt idx="38">
                  <c:v>993075569.49590468</c:v>
                </c:pt>
                <c:pt idx="39">
                  <c:v>1008356964.8975428</c:v>
                </c:pt>
                <c:pt idx="40">
                  <c:v>1002651416.0585257</c:v>
                </c:pt>
                <c:pt idx="41">
                  <c:v>974536830.87511539</c:v>
                </c:pt>
                <c:pt idx="42">
                  <c:v>981784742.00506926</c:v>
                </c:pt>
                <c:pt idx="43">
                  <c:v>961361443.2830416</c:v>
                </c:pt>
                <c:pt idx="44">
                  <c:v>924716682.20982492</c:v>
                </c:pt>
                <c:pt idx="45">
                  <c:v>918386654.645895</c:v>
                </c:pt>
                <c:pt idx="46">
                  <c:v>900121681.18753695</c:v>
                </c:pt>
                <c:pt idx="47">
                  <c:v>909238135.51252222</c:v>
                </c:pt>
                <c:pt idx="48">
                  <c:v>910961143.78751338</c:v>
                </c:pt>
                <c:pt idx="49">
                  <c:v>881709430.43250799</c:v>
                </c:pt>
                <c:pt idx="50">
                  <c:v>871726717.33950484</c:v>
                </c:pt>
                <c:pt idx="51">
                  <c:v>842099060.60370278</c:v>
                </c:pt>
                <c:pt idx="52">
                  <c:v>811987422.44222164</c:v>
                </c:pt>
                <c:pt idx="53">
                  <c:v>803153602.18533301</c:v>
                </c:pt>
                <c:pt idx="54">
                  <c:v>778653477.43119979</c:v>
                </c:pt>
                <c:pt idx="55">
                  <c:v>762580553.93871987</c:v>
                </c:pt>
                <c:pt idx="56">
                  <c:v>729594827.3632319</c:v>
                </c:pt>
                <c:pt idx="57">
                  <c:v>706746091.37793911</c:v>
                </c:pt>
                <c:pt idx="58">
                  <c:v>695912813.22676349</c:v>
                </c:pt>
                <c:pt idx="59">
                  <c:v>731480601.69605803</c:v>
                </c:pt>
                <c:pt idx="60">
                  <c:v>739133867.17763484</c:v>
                </c:pt>
                <c:pt idx="61">
                  <c:v>751110553.14658093</c:v>
                </c:pt>
                <c:pt idx="62">
                  <c:v>766541088.84794855</c:v>
                </c:pt>
                <c:pt idx="63">
                  <c:v>781992575.66876912</c:v>
                </c:pt>
                <c:pt idx="64">
                  <c:v>784917226.68126154</c:v>
                </c:pt>
                <c:pt idx="65">
                  <c:v>822722890.96875691</c:v>
                </c:pt>
                <c:pt idx="66">
                  <c:v>841157138.30125415</c:v>
                </c:pt>
                <c:pt idx="67">
                  <c:v>873258532.22075248</c:v>
                </c:pt>
                <c:pt idx="68">
                  <c:v>830900410.29245138</c:v>
                </c:pt>
                <c:pt idx="69">
                  <c:v>833948974.73547077</c:v>
                </c:pt>
                <c:pt idx="70">
                  <c:v>838840539.84128237</c:v>
                </c:pt>
                <c:pt idx="71">
                  <c:v>907377662.70476937</c:v>
                </c:pt>
                <c:pt idx="72">
                  <c:v>932116496.86286163</c:v>
                </c:pt>
                <c:pt idx="73">
                  <c:v>975910134.51771688</c:v>
                </c:pt>
                <c:pt idx="74">
                  <c:v>1004455257.11063</c:v>
                </c:pt>
                <c:pt idx="75">
                  <c:v>997086633.54637814</c:v>
                </c:pt>
                <c:pt idx="76">
                  <c:v>972783101.44782686</c:v>
                </c:pt>
                <c:pt idx="77">
                  <c:v>957186672.54869616</c:v>
                </c:pt>
                <c:pt idx="78">
                  <c:v>954702024.52921772</c:v>
                </c:pt>
                <c:pt idx="79">
                  <c:v>968434163.07753062</c:v>
                </c:pt>
                <c:pt idx="80">
                  <c:v>956170201.68651843</c:v>
                </c:pt>
                <c:pt idx="81">
                  <c:v>931349273.25191104</c:v>
                </c:pt>
                <c:pt idx="82">
                  <c:v>931303583.15114665</c:v>
                </c:pt>
                <c:pt idx="83">
                  <c:v>960831872.29068804</c:v>
                </c:pt>
                <c:pt idx="84">
                  <c:v>989071490.57441282</c:v>
                </c:pt>
                <c:pt idx="85">
                  <c:v>1029085583.5446477</c:v>
                </c:pt>
                <c:pt idx="86">
                  <c:v>1056826207.7267886</c:v>
                </c:pt>
                <c:pt idx="87">
                  <c:v>1073058078.6360731</c:v>
                </c:pt>
                <c:pt idx="88">
                  <c:v>1077986426.3816438</c:v>
                </c:pt>
                <c:pt idx="89">
                  <c:v>1107482642.2289863</c:v>
                </c:pt>
                <c:pt idx="90">
                  <c:v>1141167091.3373919</c:v>
                </c:pt>
                <c:pt idx="91">
                  <c:v>1148930666.8024349</c:v>
                </c:pt>
                <c:pt idx="92">
                  <c:v>1077210360.1214609</c:v>
                </c:pt>
                <c:pt idx="93">
                  <c:v>1065786617.2728766</c:v>
                </c:pt>
                <c:pt idx="94">
                  <c:v>1068666189.5637259</c:v>
                </c:pt>
                <c:pt idx="95">
                  <c:v>1093598190.5382357</c:v>
                </c:pt>
                <c:pt idx="96">
                  <c:v>1134789199.9229414</c:v>
                </c:pt>
                <c:pt idx="97">
                  <c:v>1145971927.5537648</c:v>
                </c:pt>
                <c:pt idx="98">
                  <c:v>1132542720.9322588</c:v>
                </c:pt>
                <c:pt idx="99">
                  <c:v>1128154583.7593553</c:v>
                </c:pt>
                <c:pt idx="100">
                  <c:v>1116016670.6556132</c:v>
                </c:pt>
                <c:pt idx="101">
                  <c:v>1117927401.193368</c:v>
                </c:pt>
                <c:pt idx="102">
                  <c:v>1126635748.3160207</c:v>
                </c:pt>
                <c:pt idx="103">
                  <c:v>1172576636.1896124</c:v>
                </c:pt>
                <c:pt idx="104">
                  <c:v>1069607125.7537675</c:v>
                </c:pt>
                <c:pt idx="105">
                  <c:v>1054235760.2522604</c:v>
                </c:pt>
                <c:pt idx="106">
                  <c:v>1034572643.7513562</c:v>
                </c:pt>
                <c:pt idx="107">
                  <c:v>1014136182.2908137</c:v>
                </c:pt>
                <c:pt idx="108">
                  <c:v>1042059404.9744883</c:v>
                </c:pt>
                <c:pt idx="109">
                  <c:v>1104412668.1846929</c:v>
                </c:pt>
                <c:pt idx="110">
                  <c:v>1183761831.3108158</c:v>
                </c:pt>
                <c:pt idx="111">
                  <c:v>1254895594.7864895</c:v>
                </c:pt>
                <c:pt idx="112">
                  <c:v>1344323352.4718938</c:v>
                </c:pt>
                <c:pt idx="113">
                  <c:v>1412834477.4831362</c:v>
                </c:pt>
                <c:pt idx="114">
                  <c:v>1591333778.0898817</c:v>
                </c:pt>
                <c:pt idx="115">
                  <c:v>1833080566.4539289</c:v>
                </c:pt>
                <c:pt idx="116">
                  <c:v>1984811246.2723575</c:v>
                </c:pt>
                <c:pt idx="117">
                  <c:v>2121497520.9634144</c:v>
                </c:pt>
                <c:pt idx="118">
                  <c:v>2184339769.7780485</c:v>
                </c:pt>
                <c:pt idx="119">
                  <c:v>2365996892.2668295</c:v>
                </c:pt>
                <c:pt idx="120">
                  <c:v>2616312802.5600977</c:v>
                </c:pt>
                <c:pt idx="121">
                  <c:v>2935836936.7360587</c:v>
                </c:pt>
                <c:pt idx="122">
                  <c:v>3303521948.4416351</c:v>
                </c:pt>
                <c:pt idx="123">
                  <c:v>3541258282.2649813</c:v>
                </c:pt>
                <c:pt idx="124">
                  <c:v>3715175437.3589888</c:v>
                </c:pt>
                <c:pt idx="125">
                  <c:v>3788095096.4153934</c:v>
                </c:pt>
                <c:pt idx="126">
                  <c:v>3866239760.2492361</c:v>
                </c:pt>
                <c:pt idx="127">
                  <c:v>4125404481.7495413</c:v>
                </c:pt>
                <c:pt idx="128">
                  <c:v>4085446483.8497248</c:v>
                </c:pt>
                <c:pt idx="129">
                  <c:v>4150867074.7098351</c:v>
                </c:pt>
                <c:pt idx="130">
                  <c:v>4107241117.6259012</c:v>
                </c:pt>
                <c:pt idx="131">
                  <c:v>4051197513.7755404</c:v>
                </c:pt>
                <c:pt idx="132">
                  <c:v>4109388324.6653242</c:v>
                </c:pt>
                <c:pt idx="133">
                  <c:v>4119036664.3991947</c:v>
                </c:pt>
                <c:pt idx="134">
                  <c:v>3984887291.439517</c:v>
                </c:pt>
                <c:pt idx="135">
                  <c:v>3630139211.6637096</c:v>
                </c:pt>
                <c:pt idx="136">
                  <c:v>3236923265.3982258</c:v>
                </c:pt>
                <c:pt idx="137">
                  <c:v>2815512461.6389356</c:v>
                </c:pt>
                <c:pt idx="138">
                  <c:v>2432188048.1833611</c:v>
                </c:pt>
                <c:pt idx="139">
                  <c:v>2095768324.1100166</c:v>
                </c:pt>
                <c:pt idx="140">
                  <c:v>1751849410.06601</c:v>
                </c:pt>
                <c:pt idx="141">
                  <c:v>1621369837.639606</c:v>
                </c:pt>
                <c:pt idx="142">
                  <c:v>1515998859.7837636</c:v>
                </c:pt>
                <c:pt idx="143">
                  <c:v>1464916944.6702583</c:v>
                </c:pt>
                <c:pt idx="144">
                  <c:v>1433350426.4021549</c:v>
                </c:pt>
                <c:pt idx="145">
                  <c:v>1412718495.441293</c:v>
                </c:pt>
                <c:pt idx="146">
                  <c:v>1422261616.4647758</c:v>
                </c:pt>
                <c:pt idx="147">
                  <c:v>1414469045.4788656</c:v>
                </c:pt>
                <c:pt idx="148">
                  <c:v>1402163328.0873194</c:v>
                </c:pt>
                <c:pt idx="149">
                  <c:v>1380663005.6523917</c:v>
                </c:pt>
                <c:pt idx="150">
                  <c:v>1361886361.791435</c:v>
                </c:pt>
                <c:pt idx="151">
                  <c:v>1461541361.874861</c:v>
                </c:pt>
                <c:pt idx="152">
                  <c:v>1547047641.5249166</c:v>
                </c:pt>
                <c:pt idx="153">
                  <c:v>1627367114.51495</c:v>
                </c:pt>
                <c:pt idx="154">
                  <c:v>1712313250.7089701</c:v>
                </c:pt>
                <c:pt idx="155">
                  <c:v>1810155474.8253822</c:v>
                </c:pt>
                <c:pt idx="156">
                  <c:v>2117379078.0952294</c:v>
                </c:pt>
                <c:pt idx="157">
                  <c:v>2495089927.6571379</c:v>
                </c:pt>
                <c:pt idx="158">
                  <c:v>2723416840.1942825</c:v>
                </c:pt>
                <c:pt idx="159">
                  <c:v>2650101392.5165696</c:v>
                </c:pt>
                <c:pt idx="160">
                  <c:v>2516097466.7099419</c:v>
                </c:pt>
                <c:pt idx="161">
                  <c:v>2337687178.4259653</c:v>
                </c:pt>
                <c:pt idx="162">
                  <c:v>2259426551.4555793</c:v>
                </c:pt>
                <c:pt idx="163">
                  <c:v>2262277130.8733473</c:v>
                </c:pt>
                <c:pt idx="164">
                  <c:v>2083729878.5240083</c:v>
                </c:pt>
                <c:pt idx="165">
                  <c:v>1960042727.1144049</c:v>
                </c:pt>
                <c:pt idx="166">
                  <c:v>1837025236.2686429</c:v>
                </c:pt>
                <c:pt idx="167">
                  <c:v>1763427941.7611856</c:v>
                </c:pt>
                <c:pt idx="168">
                  <c:v>1813676365.0567112</c:v>
                </c:pt>
                <c:pt idx="169">
                  <c:v>1927435019.0340266</c:v>
                </c:pt>
                <c:pt idx="170">
                  <c:v>1930550211.4204159</c:v>
                </c:pt>
                <c:pt idx="171">
                  <c:v>1867918126.8522494</c:v>
                </c:pt>
                <c:pt idx="172">
                  <c:v>1764822476.1113496</c:v>
                </c:pt>
                <c:pt idx="173">
                  <c:v>1716467085.6668096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2B-41FE-AE04-3620357CC6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8100288"/>
        <c:axId val="114475296"/>
      </c:lineChart>
      <c:dateAx>
        <c:axId val="2810028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4475296"/>
        <c:crosses val="autoZero"/>
        <c:auto val="1"/>
        <c:lblOffset val="100"/>
        <c:baseTimeUnit val="months"/>
      </c:dateAx>
      <c:valAx>
        <c:axId val="11447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.00_);[Red]\(#,##0.00\)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10028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endParaRPr lang="zh-TW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'Q3 迴歸'!$B$1</c:f>
              <c:strCache>
                <c:ptCount val="1"/>
                <c:pt idx="0">
                  <c:v>Container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迴歸'!$B$2:$B$181</c:f>
              <c:numCache>
                <c:formatCode>General</c:formatCode>
                <c:ptCount val="180"/>
                <c:pt idx="0">
                  <c:v>530164083.30000001</c:v>
                </c:pt>
                <c:pt idx="1">
                  <c:v>442050146.30000001</c:v>
                </c:pt>
                <c:pt idx="2">
                  <c:v>458910901.10000002</c:v>
                </c:pt>
                <c:pt idx="3">
                  <c:v>521655176</c:v>
                </c:pt>
                <c:pt idx="4">
                  <c:v>521870479.60000002</c:v>
                </c:pt>
                <c:pt idx="5">
                  <c:v>530635299.39999998</c:v>
                </c:pt>
                <c:pt idx="6">
                  <c:v>526166118</c:v>
                </c:pt>
                <c:pt idx="7">
                  <c:v>520844989.30000001</c:v>
                </c:pt>
                <c:pt idx="8">
                  <c:v>484694267.89999998</c:v>
                </c:pt>
                <c:pt idx="9">
                  <c:v>494560586.5</c:v>
                </c:pt>
                <c:pt idx="10">
                  <c:v>481736591.5</c:v>
                </c:pt>
                <c:pt idx="11">
                  <c:v>465883225.39999998</c:v>
                </c:pt>
                <c:pt idx="12">
                  <c:v>689942417.10000002</c:v>
                </c:pt>
                <c:pt idx="13">
                  <c:v>644837026</c:v>
                </c:pt>
                <c:pt idx="14">
                  <c:v>721740438.60000002</c:v>
                </c:pt>
                <c:pt idx="15">
                  <c:v>840048569.70000005</c:v>
                </c:pt>
                <c:pt idx="16">
                  <c:v>906526843.5</c:v>
                </c:pt>
                <c:pt idx="17">
                  <c:v>943162982.5</c:v>
                </c:pt>
                <c:pt idx="18">
                  <c:v>947372879.70000005</c:v>
                </c:pt>
                <c:pt idx="19">
                  <c:v>969690342.79999995</c:v>
                </c:pt>
                <c:pt idx="20">
                  <c:v>955855309.39999998</c:v>
                </c:pt>
                <c:pt idx="21">
                  <c:v>909802011.20000005</c:v>
                </c:pt>
                <c:pt idx="22">
                  <c:v>860151481.89999998</c:v>
                </c:pt>
                <c:pt idx="23">
                  <c:v>859447165.10000002</c:v>
                </c:pt>
                <c:pt idx="24">
                  <c:v>925917386.20000005</c:v>
                </c:pt>
                <c:pt idx="25">
                  <c:v>761347210.5</c:v>
                </c:pt>
                <c:pt idx="26">
                  <c:v>839943452.60000002</c:v>
                </c:pt>
                <c:pt idx="27">
                  <c:v>865907095</c:v>
                </c:pt>
                <c:pt idx="28">
                  <c:v>900888985.5</c:v>
                </c:pt>
                <c:pt idx="29">
                  <c:v>947114792.79999995</c:v>
                </c:pt>
                <c:pt idx="30">
                  <c:v>884253253.89999998</c:v>
                </c:pt>
                <c:pt idx="31">
                  <c:v>959370275.39999998</c:v>
                </c:pt>
                <c:pt idx="32">
                  <c:v>953423947.39999998</c:v>
                </c:pt>
                <c:pt idx="33">
                  <c:v>845610436.70000005</c:v>
                </c:pt>
                <c:pt idx="34">
                  <c:v>871151610.39999998</c:v>
                </c:pt>
                <c:pt idx="35">
                  <c:v>910706403.20000005</c:v>
                </c:pt>
                <c:pt idx="36">
                  <c:v>918238567.29999995</c:v>
                </c:pt>
                <c:pt idx="37">
                  <c:v>751231030.10000002</c:v>
                </c:pt>
                <c:pt idx="38">
                  <c:v>877090455.20000005</c:v>
                </c:pt>
                <c:pt idx="39">
                  <c:v>911312078.79999995</c:v>
                </c:pt>
                <c:pt idx="40">
                  <c:v>977854756.89999998</c:v>
                </c:pt>
                <c:pt idx="41">
                  <c:v>969604267.20000005</c:v>
                </c:pt>
                <c:pt idx="42">
                  <c:v>1017547567</c:v>
                </c:pt>
                <c:pt idx="43">
                  <c:v>1027165762</c:v>
                </c:pt>
                <c:pt idx="44">
                  <c:v>1031279058</c:v>
                </c:pt>
                <c:pt idx="45">
                  <c:v>994093092.79999995</c:v>
                </c:pt>
                <c:pt idx="46">
                  <c:v>932364953.10000002</c:v>
                </c:pt>
                <c:pt idx="47">
                  <c:v>992656608.70000005</c:v>
                </c:pt>
                <c:pt idx="48">
                  <c:v>930726495.20000005</c:v>
                </c:pt>
                <c:pt idx="49">
                  <c:v>869749540.60000002</c:v>
                </c:pt>
                <c:pt idx="50">
                  <c:v>908891613.29999995</c:v>
                </c:pt>
                <c:pt idx="51">
                  <c:v>872724221</c:v>
                </c:pt>
                <c:pt idx="52">
                  <c:v>922912817</c:v>
                </c:pt>
                <c:pt idx="53">
                  <c:v>913545656.20000005</c:v>
                </c:pt>
                <c:pt idx="54">
                  <c:v>837831860.39999998</c:v>
                </c:pt>
                <c:pt idx="55">
                  <c:v>856752647.70000005</c:v>
                </c:pt>
                <c:pt idx="56">
                  <c:v>797657575.5</c:v>
                </c:pt>
                <c:pt idx="57">
                  <c:v>766819965.20000005</c:v>
                </c:pt>
                <c:pt idx="58">
                  <c:v>789902871.79999995</c:v>
                </c:pt>
                <c:pt idx="59">
                  <c:v>741903290.29999995</c:v>
                </c:pt>
                <c:pt idx="60">
                  <c:v>738471168.70000005</c:v>
                </c:pt>
                <c:pt idx="61">
                  <c:v>680116237.5</c:v>
                </c:pt>
                <c:pt idx="62">
                  <c:v>672472987.39999998</c:v>
                </c:pt>
                <c:pt idx="63">
                  <c:v>679662896</c:v>
                </c:pt>
                <c:pt idx="64">
                  <c:v>784832284.39999998</c:v>
                </c:pt>
                <c:pt idx="65">
                  <c:v>750613765.39999998</c:v>
                </c:pt>
                <c:pt idx="66">
                  <c:v>769075582.10000002</c:v>
                </c:pt>
                <c:pt idx="67">
                  <c:v>789686892.39999998</c:v>
                </c:pt>
                <c:pt idx="68">
                  <c:v>805169805.89999998</c:v>
                </c:pt>
                <c:pt idx="69">
                  <c:v>789304203.20000005</c:v>
                </c:pt>
                <c:pt idx="70">
                  <c:v>879431387.39999998</c:v>
                </c:pt>
                <c:pt idx="71">
                  <c:v>868808509.29999995</c:v>
                </c:pt>
                <c:pt idx="72">
                  <c:v>921410623.10000002</c:v>
                </c:pt>
                <c:pt idx="73">
                  <c:v>767363227.39999998</c:v>
                </c:pt>
                <c:pt idx="74">
                  <c:v>838521821.39999998</c:v>
                </c:pt>
                <c:pt idx="75">
                  <c:v>846177887.5</c:v>
                </c:pt>
                <c:pt idx="76">
                  <c:v>1010183347</c:v>
                </c:pt>
                <c:pt idx="77">
                  <c:v>969224748.10000002</c:v>
                </c:pt>
                <c:pt idx="78">
                  <c:v>1041600591</c:v>
                </c:pt>
                <c:pt idx="79">
                  <c:v>1047272941</c:v>
                </c:pt>
                <c:pt idx="80">
                  <c:v>986033698.20000005</c:v>
                </c:pt>
                <c:pt idx="81">
                  <c:v>936327803.29999995</c:v>
                </c:pt>
                <c:pt idx="82">
                  <c:v>933792029.20000005</c:v>
                </c:pt>
                <c:pt idx="83">
                  <c:v>950975052.5</c:v>
                </c:pt>
                <c:pt idx="84">
                  <c:v>989032370.89999998</c:v>
                </c:pt>
                <c:pt idx="85">
                  <c:v>937774259.60000002</c:v>
                </c:pt>
                <c:pt idx="86">
                  <c:v>894117880.60000002</c:v>
                </c:pt>
                <c:pt idx="87">
                  <c:v>931235048</c:v>
                </c:pt>
                <c:pt idx="88">
                  <c:v>1005124306</c:v>
                </c:pt>
                <c:pt idx="89">
                  <c:v>1031430918</c:v>
                </c:pt>
                <c:pt idx="90">
                  <c:v>1089106723</c:v>
                </c:pt>
                <c:pt idx="91">
                  <c:v>1098437144</c:v>
                </c:pt>
                <c:pt idx="92">
                  <c:v>1097405885</c:v>
                </c:pt>
                <c:pt idx="93">
                  <c:v>1085378948</c:v>
                </c:pt>
                <c:pt idx="94">
                  <c:v>1151726966</c:v>
                </c:pt>
                <c:pt idx="95">
                  <c:v>1191693765</c:v>
                </c:pt>
                <c:pt idx="96">
                  <c:v>1160576030</c:v>
                </c:pt>
                <c:pt idx="97">
                  <c:v>969629900.10000002</c:v>
                </c:pt>
                <c:pt idx="98">
                  <c:v>1048651003</c:v>
                </c:pt>
                <c:pt idx="99">
                  <c:v>1072985548</c:v>
                </c:pt>
                <c:pt idx="100">
                  <c:v>1130996192</c:v>
                </c:pt>
                <c:pt idx="101">
                  <c:v>1196575714</c:v>
                </c:pt>
                <c:pt idx="102">
                  <c:v>1162746019</c:v>
                </c:pt>
                <c:pt idx="103">
                  <c:v>1112398911</c:v>
                </c:pt>
                <c:pt idx="104">
                  <c:v>1121572378</c:v>
                </c:pt>
                <c:pt idx="105">
                  <c:v>1097809801</c:v>
                </c:pt>
                <c:pt idx="106">
                  <c:v>1120793497</c:v>
                </c:pt>
                <c:pt idx="107">
                  <c:v>1139698269</c:v>
                </c:pt>
                <c:pt idx="108">
                  <c:v>1241487968</c:v>
                </c:pt>
                <c:pt idx="109">
                  <c:v>915152860.10000002</c:v>
                </c:pt>
                <c:pt idx="110">
                  <c:v>1031178712</c:v>
                </c:pt>
                <c:pt idx="111">
                  <c:v>1005077969</c:v>
                </c:pt>
                <c:pt idx="112">
                  <c:v>983481490.10000002</c:v>
                </c:pt>
                <c:pt idx="113">
                  <c:v>1083944239</c:v>
                </c:pt>
                <c:pt idx="114">
                  <c:v>1197942563</c:v>
                </c:pt>
                <c:pt idx="115">
                  <c:v>1302785576</c:v>
                </c:pt>
                <c:pt idx="116">
                  <c:v>1361596240</c:v>
                </c:pt>
                <c:pt idx="117">
                  <c:v>1478464989</c:v>
                </c:pt>
                <c:pt idx="118">
                  <c:v>1515601165</c:v>
                </c:pt>
                <c:pt idx="119">
                  <c:v>1859082729</c:v>
                </c:pt>
                <c:pt idx="120">
                  <c:v>2195700749</c:v>
                </c:pt>
                <c:pt idx="121">
                  <c:v>2212407266</c:v>
                </c:pt>
                <c:pt idx="122">
                  <c:v>2326526933</c:v>
                </c:pt>
                <c:pt idx="123">
                  <c:v>2278603143</c:v>
                </c:pt>
                <c:pt idx="124">
                  <c:v>2638482576</c:v>
                </c:pt>
                <c:pt idx="125">
                  <c:v>2991786668</c:v>
                </c:pt>
                <c:pt idx="126">
                  <c:v>3415123138</c:v>
                </c:pt>
                <c:pt idx="127">
                  <c:v>3855049466</c:v>
                </c:pt>
                <c:pt idx="128">
                  <c:v>3897862783</c:v>
                </c:pt>
                <c:pt idx="129">
                  <c:v>3976051170</c:v>
                </c:pt>
                <c:pt idx="130">
                  <c:v>3897474585</c:v>
                </c:pt>
                <c:pt idx="131">
                  <c:v>3983456756</c:v>
                </c:pt>
                <c:pt idx="132">
                  <c:v>4514151564</c:v>
                </c:pt>
                <c:pt idx="133">
                  <c:v>4025509487</c:v>
                </c:pt>
                <c:pt idx="134">
                  <c:v>4248997961</c:v>
                </c:pt>
                <c:pt idx="135">
                  <c:v>4041802182</c:v>
                </c:pt>
                <c:pt idx="136">
                  <c:v>3967132108</c:v>
                </c:pt>
                <c:pt idx="137">
                  <c:v>4196674541</c:v>
                </c:pt>
                <c:pt idx="138">
                  <c:v>4133509174</c:v>
                </c:pt>
                <c:pt idx="139">
                  <c:v>3783663232</c:v>
                </c:pt>
                <c:pt idx="140">
                  <c:v>3098017092</c:v>
                </c:pt>
                <c:pt idx="141">
                  <c:v>2647099346</c:v>
                </c:pt>
                <c:pt idx="142">
                  <c:v>2183396256</c:v>
                </c:pt>
                <c:pt idx="143">
                  <c:v>1857201428</c:v>
                </c:pt>
                <c:pt idx="144">
                  <c:v>1591138738</c:v>
                </c:pt>
                <c:pt idx="145">
                  <c:v>1235971039</c:v>
                </c:pt>
                <c:pt idx="146">
                  <c:v>1425650479</c:v>
                </c:pt>
                <c:pt idx="147">
                  <c:v>1357942393</c:v>
                </c:pt>
                <c:pt idx="148">
                  <c:v>1388294072</c:v>
                </c:pt>
                <c:pt idx="149">
                  <c:v>1386000649</c:v>
                </c:pt>
                <c:pt idx="150">
                  <c:v>1381770599</c:v>
                </c:pt>
                <c:pt idx="151">
                  <c:v>1436576298</c:v>
                </c:pt>
                <c:pt idx="152">
                  <c:v>1402780189</c:v>
                </c:pt>
                <c:pt idx="153">
                  <c:v>1383704752</c:v>
                </c:pt>
                <c:pt idx="154">
                  <c:v>1348412522</c:v>
                </c:pt>
                <c:pt idx="155">
                  <c:v>1333721396</c:v>
                </c:pt>
                <c:pt idx="156">
                  <c:v>1611023862</c:v>
                </c:pt>
                <c:pt idx="157">
                  <c:v>1675307061</c:v>
                </c:pt>
                <c:pt idx="158">
                  <c:v>1747846324</c:v>
                </c:pt>
                <c:pt idx="159">
                  <c:v>1839732455</c:v>
                </c:pt>
                <c:pt idx="160">
                  <c:v>1956918811</c:v>
                </c:pt>
                <c:pt idx="161">
                  <c:v>2578214483</c:v>
                </c:pt>
                <c:pt idx="162">
                  <c:v>3061656202</c:v>
                </c:pt>
                <c:pt idx="163">
                  <c:v>3065907209</c:v>
                </c:pt>
                <c:pt idx="164">
                  <c:v>2540128221</c:v>
                </c:pt>
                <c:pt idx="165">
                  <c:v>2315091578</c:v>
                </c:pt>
                <c:pt idx="166">
                  <c:v>2070071746</c:v>
                </c:pt>
                <c:pt idx="167">
                  <c:v>2142035611</c:v>
                </c:pt>
                <c:pt idx="168">
                  <c:v>2266553000</c:v>
                </c:pt>
                <c:pt idx="169">
                  <c:v>1815909000</c:v>
                </c:pt>
                <c:pt idx="170">
                  <c:v>1774512000</c:v>
                </c:pt>
                <c:pt idx="171">
                  <c:v>1652499000</c:v>
                </c:pt>
                <c:pt idx="172">
                  <c:v>1653032000</c:v>
                </c:pt>
                <c:pt idx="173">
                  <c:v>1889049000</c:v>
                </c:pt>
                <c:pt idx="174">
                  <c:v>2098073000</c:v>
                </c:pt>
                <c:pt idx="175">
                  <c:v>1935223000</c:v>
                </c:pt>
                <c:pt idx="176">
                  <c:v>1773970000</c:v>
                </c:pt>
                <c:pt idx="177">
                  <c:v>1610179000</c:v>
                </c:pt>
                <c:pt idx="178">
                  <c:v>1643934000</c:v>
                </c:pt>
                <c:pt idx="179">
                  <c:v>1856222000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D2-4910-96A2-C6DCBCE57103}"/>
            </c:ext>
          </c:extLst>
        </c:ser>
        <c:ser>
          <c:idx val="1"/>
          <c:order val="1"/>
          <c:tx>
            <c:strRef>
              <c:f>'Q3 迴歸'!$C$1</c:f>
              <c:strCache>
                <c:ptCount val="1"/>
                <c:pt idx="0">
                  <c:v>GCTI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迴歸'!$C$2:$C$181</c:f>
            </c:numRef>
          </c:val>
          <c:smooth val="0"/>
          <c:extLst>
            <c:ext xmlns:c16="http://schemas.microsoft.com/office/drawing/2014/chart" uri="{C3380CC4-5D6E-409C-BE32-E72D297353CC}">
              <c16:uniqueId val="{00000001-27D2-4910-96A2-C6DCBCE57103}"/>
            </c:ext>
          </c:extLst>
        </c:ser>
        <c:ser>
          <c:idx val="2"/>
          <c:order val="2"/>
          <c:tx>
            <c:strRef>
              <c:f>'Q3 迴歸'!$D$1</c:f>
              <c:strCache>
                <c:ptCount val="1"/>
                <c:pt idx="0">
                  <c:v>CCFI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迴歸'!$D$2:$D$181</c:f>
            </c:numRef>
          </c:val>
          <c:smooth val="0"/>
          <c:extLst>
            <c:ext xmlns:c16="http://schemas.microsoft.com/office/drawing/2014/chart" uri="{C3380CC4-5D6E-409C-BE32-E72D297353CC}">
              <c16:uniqueId val="{00000002-27D2-4910-96A2-C6DCBCE57103}"/>
            </c:ext>
          </c:extLst>
        </c:ser>
        <c:ser>
          <c:idx val="3"/>
          <c:order val="3"/>
          <c:tx>
            <c:strRef>
              <c:f>'Q3 迴歸'!$E$1</c:f>
              <c:strCache>
                <c:ptCount val="1"/>
                <c:pt idx="0">
                  <c:v>SCFI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迴歸'!$E$2:$E$181</c:f>
            </c:numRef>
          </c:val>
          <c:smooth val="0"/>
          <c:extLst>
            <c:ext xmlns:c16="http://schemas.microsoft.com/office/drawing/2014/chart" uri="{C3380CC4-5D6E-409C-BE32-E72D297353CC}">
              <c16:uniqueId val="{00000003-27D2-4910-96A2-C6DCBCE57103}"/>
            </c:ext>
          </c:extLst>
        </c:ser>
        <c:ser>
          <c:idx val="4"/>
          <c:order val="4"/>
          <c:tx>
            <c:strRef>
              <c:f>'Q3 迴歸'!$F$1</c:f>
              <c:strCache>
                <c:ptCount val="1"/>
                <c:pt idx="0">
                  <c:v>IPI_TW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迴歸'!$F$2:$F$181</c:f>
            </c:numRef>
          </c:val>
          <c:smooth val="0"/>
          <c:extLst>
            <c:ext xmlns:c16="http://schemas.microsoft.com/office/drawing/2014/chart" uri="{C3380CC4-5D6E-409C-BE32-E72D297353CC}">
              <c16:uniqueId val="{00000004-27D2-4910-96A2-C6DCBCE57103}"/>
            </c:ext>
          </c:extLst>
        </c:ser>
        <c:ser>
          <c:idx val="5"/>
          <c:order val="5"/>
          <c:tx>
            <c:strRef>
              <c:f>'Q3 迴歸'!$G$1</c:f>
              <c:strCache>
                <c:ptCount val="1"/>
                <c:pt idx="0">
                  <c:v>Retail sales index_EU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迴歸'!$G$2:$G$181</c:f>
            </c:numRef>
          </c:val>
          <c:smooth val="0"/>
          <c:extLst>
            <c:ext xmlns:c16="http://schemas.microsoft.com/office/drawing/2014/chart" uri="{C3380CC4-5D6E-409C-BE32-E72D297353CC}">
              <c16:uniqueId val="{00000005-27D2-4910-96A2-C6DCBCE57103}"/>
            </c:ext>
          </c:extLst>
        </c:ser>
        <c:ser>
          <c:idx val="6"/>
          <c:order val="6"/>
          <c:tx>
            <c:strRef>
              <c:f>'Q3 迴歸'!$H$1</c:f>
              <c:strCache>
                <c:ptCount val="1"/>
                <c:pt idx="0">
                  <c:v>Retail value_CN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迴歸'!$H$2:$H$181</c:f>
            </c:numRef>
          </c:val>
          <c:smooth val="0"/>
          <c:extLst>
            <c:ext xmlns:c16="http://schemas.microsoft.com/office/drawing/2014/chart" uri="{C3380CC4-5D6E-409C-BE32-E72D297353CC}">
              <c16:uniqueId val="{00000006-27D2-4910-96A2-C6DCBCE57103}"/>
            </c:ext>
          </c:extLst>
        </c:ser>
        <c:ser>
          <c:idx val="7"/>
          <c:order val="7"/>
          <c:tx>
            <c:strRef>
              <c:f>'Q3 迴歸'!$I$1</c:f>
              <c:strCache>
                <c:ptCount val="1"/>
                <c:pt idx="0">
                  <c:v>Export_ basemetals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迴歸'!$I$2:$I$181</c:f>
            </c:numRef>
          </c:val>
          <c:smooth val="0"/>
          <c:extLst>
            <c:ext xmlns:c16="http://schemas.microsoft.com/office/drawing/2014/chart" uri="{C3380CC4-5D6E-409C-BE32-E72D297353CC}">
              <c16:uniqueId val="{00000007-27D2-4910-96A2-C6DCBCE57103}"/>
            </c:ext>
          </c:extLst>
        </c:ser>
        <c:ser>
          <c:idx val="8"/>
          <c:order val="8"/>
          <c:tx>
            <c:strRef>
              <c:f>'Q3 迴歸'!$J$1</c:f>
              <c:strCache>
                <c:ptCount val="1"/>
                <c:pt idx="0">
                  <c:v>Import_chemical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迴歸'!$J$2:$J$181</c:f>
            </c:numRef>
          </c:val>
          <c:smooth val="0"/>
          <c:extLst>
            <c:ext xmlns:c16="http://schemas.microsoft.com/office/drawing/2014/chart" uri="{C3380CC4-5D6E-409C-BE32-E72D297353CC}">
              <c16:uniqueId val="{00000008-27D2-4910-96A2-C6DCBCE57103}"/>
            </c:ext>
          </c:extLst>
        </c:ser>
        <c:ser>
          <c:idx val="9"/>
          <c:order val="9"/>
          <c:tx>
            <c:strRef>
              <c:f>'Q3 迴歸'!$K$1</c:f>
              <c:strCache>
                <c:ptCount val="1"/>
                <c:pt idx="0">
                  <c:v>Retail sales index_US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迴歸'!$K$2:$K$181</c:f>
            </c:numRef>
          </c:val>
          <c:smooth val="0"/>
          <c:extLst>
            <c:ext xmlns:c16="http://schemas.microsoft.com/office/drawing/2014/chart" uri="{C3380CC4-5D6E-409C-BE32-E72D297353CC}">
              <c16:uniqueId val="{00000009-27D2-4910-96A2-C6DCBCE57103}"/>
            </c:ext>
          </c:extLst>
        </c:ser>
        <c:ser>
          <c:idx val="10"/>
          <c:order val="10"/>
          <c:tx>
            <c:strRef>
              <c:f>'Q3 迴歸'!$L$1</c:f>
              <c:strCache>
                <c:ptCount val="1"/>
                <c:pt idx="0">
                  <c:v>Container_SeasonIndex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prstDash val="solid"/>
              </a:ln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迴歸'!$L$2:$L$181</c:f>
            </c:numRef>
          </c:val>
          <c:smooth val="0"/>
          <c:extLst>
            <c:ext xmlns:c16="http://schemas.microsoft.com/office/drawing/2014/chart" uri="{C3380CC4-5D6E-409C-BE32-E72D297353CC}">
              <c16:uniqueId val="{0000000A-27D2-4910-96A2-C6DCBCE57103}"/>
            </c:ext>
          </c:extLst>
        </c:ser>
        <c:ser>
          <c:idx val="11"/>
          <c:order val="11"/>
          <c:tx>
            <c:strRef>
              <c:f>'Q3 迴歸'!$M$1</c:f>
              <c:strCache>
                <c:ptCount val="1"/>
                <c:pt idx="0">
                  <c:v>Export_chemical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prstDash val="solid"/>
              </a:ln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迴歸'!$M$2:$M$181</c:f>
            </c:numRef>
          </c:val>
          <c:smooth val="0"/>
          <c:extLst>
            <c:ext xmlns:c16="http://schemas.microsoft.com/office/drawing/2014/chart" uri="{C3380CC4-5D6E-409C-BE32-E72D297353CC}">
              <c16:uniqueId val="{0000000B-27D2-4910-96A2-C6DCBCE57103}"/>
            </c:ext>
          </c:extLst>
        </c:ser>
        <c:ser>
          <c:idx val="12"/>
          <c:order val="12"/>
          <c:tx>
            <c:strRef>
              <c:f>'Q3 迴歸'!$N$1</c:f>
              <c:strCache>
                <c:ptCount val="1"/>
                <c:pt idx="0">
                  <c:v>Import_ base metals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迴歸'!$N$2:$N$181</c:f>
            </c:numRef>
          </c:val>
          <c:smooth val="0"/>
          <c:extLst>
            <c:ext xmlns:c16="http://schemas.microsoft.com/office/drawing/2014/chart" uri="{C3380CC4-5D6E-409C-BE32-E72D297353CC}">
              <c16:uniqueId val="{0000000C-27D2-4910-96A2-C6DCBCE57103}"/>
            </c:ext>
          </c:extLst>
        </c:ser>
        <c:ser>
          <c:idx val="13"/>
          <c:order val="13"/>
          <c:tx>
            <c:strRef>
              <c:f>'Q3 迴歸'!$O$1</c:f>
              <c:strCache>
                <c:ptCount val="1"/>
                <c:pt idx="0">
                  <c:v>Import_vegetable of products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</a:ln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迴歸'!$O$2:$O$181</c:f>
            </c:numRef>
          </c:val>
          <c:smooth val="0"/>
          <c:extLst>
            <c:ext xmlns:c16="http://schemas.microsoft.com/office/drawing/2014/chart" uri="{C3380CC4-5D6E-409C-BE32-E72D297353CC}">
              <c16:uniqueId val="{0000000D-27D2-4910-96A2-C6DCBCE57103}"/>
            </c:ext>
          </c:extLst>
        </c:ser>
        <c:ser>
          <c:idx val="14"/>
          <c:order val="14"/>
          <c:tx>
            <c:strRef>
              <c:f>'Q3 迴歸'!$P$1</c:f>
              <c:strCache>
                <c:ptCount val="1"/>
                <c:pt idx="0">
                  <c:v>WTI crude Oil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迴歸'!$P$2:$P$181</c:f>
            </c:numRef>
          </c:val>
          <c:smooth val="0"/>
          <c:extLst>
            <c:ext xmlns:c16="http://schemas.microsoft.com/office/drawing/2014/chart" uri="{C3380CC4-5D6E-409C-BE32-E72D297353CC}">
              <c16:uniqueId val="{0000000E-27D2-4910-96A2-C6DCBCE57103}"/>
            </c:ext>
          </c:extLst>
        </c:ser>
        <c:ser>
          <c:idx val="15"/>
          <c:order val="15"/>
          <c:tx>
            <c:strRef>
              <c:f>'Q3 迴歸'!$Q$1</c:f>
              <c:strCache>
                <c:ptCount val="1"/>
                <c:pt idx="0">
                  <c:v>Export_ plastics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</a:ln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迴歸'!$Q$2:$Q$181</c:f>
            </c:numRef>
          </c:val>
          <c:smooth val="0"/>
          <c:extLst>
            <c:ext xmlns:c16="http://schemas.microsoft.com/office/drawing/2014/chart" uri="{C3380CC4-5D6E-409C-BE32-E72D297353CC}">
              <c16:uniqueId val="{0000000F-27D2-4910-96A2-C6DCBCE57103}"/>
            </c:ext>
          </c:extLst>
        </c:ser>
        <c:ser>
          <c:idx val="16"/>
          <c:order val="16"/>
          <c:tx>
            <c:strRef>
              <c:f>'Q3 迴歸'!$R$1</c:f>
              <c:strCache>
                <c:ptCount val="1"/>
                <c:pt idx="0">
                  <c:v>Import_machine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</a:ln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迴歸'!$R$2:$R$181</c:f>
            </c:numRef>
          </c:val>
          <c:smooth val="0"/>
          <c:extLst>
            <c:ext xmlns:c16="http://schemas.microsoft.com/office/drawing/2014/chart" uri="{C3380CC4-5D6E-409C-BE32-E72D297353CC}">
              <c16:uniqueId val="{00000010-27D2-4910-96A2-C6DCBCE57103}"/>
            </c:ext>
          </c:extLst>
        </c:ser>
        <c:ser>
          <c:idx val="17"/>
          <c:order val="17"/>
          <c:tx>
            <c:strRef>
              <c:f>'Q3 迴歸'!$S$1</c:f>
              <c:strCache>
                <c:ptCount val="1"/>
                <c:pt idx="0">
                  <c:v>TEST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迴歸'!$S$2:$S$181</c:f>
              <c:numCache>
                <c:formatCode>General</c:formatCode>
                <c:ptCount val="180"/>
                <c:pt idx="0">
                  <c:v>642082475.46554422</c:v>
                </c:pt>
                <c:pt idx="1">
                  <c:v>469674953.42401886</c:v>
                </c:pt>
                <c:pt idx="2">
                  <c:v>526861275.83754349</c:v>
                </c:pt>
                <c:pt idx="3">
                  <c:v>491255107.09105396</c:v>
                </c:pt>
                <c:pt idx="4">
                  <c:v>645903410.32335901</c:v>
                </c:pt>
                <c:pt idx="5">
                  <c:v>590313545.18191624</c:v>
                </c:pt>
                <c:pt idx="6">
                  <c:v>656775935.94649553</c:v>
                </c:pt>
                <c:pt idx="7">
                  <c:v>585422677.66224241</c:v>
                </c:pt>
                <c:pt idx="8">
                  <c:v>607265681.99705887</c:v>
                </c:pt>
                <c:pt idx="9">
                  <c:v>593388207.4449749</c:v>
                </c:pt>
                <c:pt idx="10">
                  <c:v>524182458.47531939</c:v>
                </c:pt>
                <c:pt idx="11">
                  <c:v>572263133.42608643</c:v>
                </c:pt>
                <c:pt idx="12">
                  <c:v>495728586.70833349</c:v>
                </c:pt>
                <c:pt idx="13">
                  <c:v>491903583.73624134</c:v>
                </c:pt>
                <c:pt idx="14">
                  <c:v>637103737.740839</c:v>
                </c:pt>
                <c:pt idx="15">
                  <c:v>817601330.697402</c:v>
                </c:pt>
                <c:pt idx="16">
                  <c:v>1070917537.0382991</c:v>
                </c:pt>
                <c:pt idx="17">
                  <c:v>1046751396.5106549</c:v>
                </c:pt>
                <c:pt idx="18">
                  <c:v>1070001872.9275913</c:v>
                </c:pt>
                <c:pt idx="19">
                  <c:v>931059081.61208439</c:v>
                </c:pt>
                <c:pt idx="20">
                  <c:v>1032685321.6362319</c:v>
                </c:pt>
                <c:pt idx="21">
                  <c:v>923508399.58673668</c:v>
                </c:pt>
                <c:pt idx="22">
                  <c:v>868999616.02565241</c:v>
                </c:pt>
                <c:pt idx="23">
                  <c:v>861254016.51673603</c:v>
                </c:pt>
                <c:pt idx="24">
                  <c:v>896418197.58173466</c:v>
                </c:pt>
                <c:pt idx="25">
                  <c:v>753246148.36461544</c:v>
                </c:pt>
                <c:pt idx="26">
                  <c:v>853420479.83475924</c:v>
                </c:pt>
                <c:pt idx="27">
                  <c:v>771378529.35093546</c:v>
                </c:pt>
                <c:pt idx="28">
                  <c:v>934596950.96801996</c:v>
                </c:pt>
                <c:pt idx="29">
                  <c:v>790960618.35051012</c:v>
                </c:pt>
                <c:pt idx="30">
                  <c:v>795352525.49142265</c:v>
                </c:pt>
                <c:pt idx="31">
                  <c:v>894437149.96336508</c:v>
                </c:pt>
                <c:pt idx="32">
                  <c:v>922129912.2735672</c:v>
                </c:pt>
                <c:pt idx="33">
                  <c:v>847724427.18248558</c:v>
                </c:pt>
                <c:pt idx="34">
                  <c:v>817106187.83680105</c:v>
                </c:pt>
                <c:pt idx="35">
                  <c:v>886283927.90450096</c:v>
                </c:pt>
                <c:pt idx="36">
                  <c:v>978566102.82871819</c:v>
                </c:pt>
                <c:pt idx="37">
                  <c:v>868238032.22525072</c:v>
                </c:pt>
                <c:pt idx="38">
                  <c:v>916923710.28829956</c:v>
                </c:pt>
                <c:pt idx="39">
                  <c:v>904701919.94738007</c:v>
                </c:pt>
                <c:pt idx="40">
                  <c:v>1006230392.2983994</c:v>
                </c:pt>
                <c:pt idx="41">
                  <c:v>1005233183.4769735</c:v>
                </c:pt>
                <c:pt idx="42">
                  <c:v>965265834.70663595</c:v>
                </c:pt>
                <c:pt idx="43">
                  <c:v>1026091966.2998381</c:v>
                </c:pt>
                <c:pt idx="44">
                  <c:v>1018764142.6110811</c:v>
                </c:pt>
                <c:pt idx="45">
                  <c:v>970155431.17363453</c:v>
                </c:pt>
                <c:pt idx="46">
                  <c:v>973200843.52074718</c:v>
                </c:pt>
                <c:pt idx="47">
                  <c:v>950150535.85525036</c:v>
                </c:pt>
                <c:pt idx="48">
                  <c:v>1045023296.9527225</c:v>
                </c:pt>
                <c:pt idx="49">
                  <c:v>929983111.77907944</c:v>
                </c:pt>
                <c:pt idx="50">
                  <c:v>1000579972.2830987</c:v>
                </c:pt>
                <c:pt idx="51">
                  <c:v>852807535.78176546</c:v>
                </c:pt>
                <c:pt idx="52">
                  <c:v>869660185.78455687</c:v>
                </c:pt>
                <c:pt idx="53">
                  <c:v>785767098.83392239</c:v>
                </c:pt>
                <c:pt idx="54">
                  <c:v>840003055.03102446</c:v>
                </c:pt>
                <c:pt idx="55">
                  <c:v>809293084.09547043</c:v>
                </c:pt>
                <c:pt idx="56">
                  <c:v>796091934.43665409</c:v>
                </c:pt>
                <c:pt idx="57">
                  <c:v>758264489.20192528</c:v>
                </c:pt>
                <c:pt idx="58">
                  <c:v>700300735.77292299</c:v>
                </c:pt>
                <c:pt idx="59">
                  <c:v>694553271.26410627</c:v>
                </c:pt>
                <c:pt idx="60">
                  <c:v>714328281.37457228</c:v>
                </c:pt>
                <c:pt idx="61">
                  <c:v>666873105.28415012</c:v>
                </c:pt>
                <c:pt idx="62">
                  <c:v>628208753.91497135</c:v>
                </c:pt>
                <c:pt idx="63">
                  <c:v>584925224.0530777</c:v>
                </c:pt>
                <c:pt idx="64">
                  <c:v>693086373.00320768</c:v>
                </c:pt>
                <c:pt idx="65">
                  <c:v>684748774.64149141</c:v>
                </c:pt>
                <c:pt idx="66">
                  <c:v>728159944.08257866</c:v>
                </c:pt>
                <c:pt idx="67">
                  <c:v>697644587.44895983</c:v>
                </c:pt>
                <c:pt idx="68">
                  <c:v>714637591.99539232</c:v>
                </c:pt>
                <c:pt idx="69">
                  <c:v>851972151.23740864</c:v>
                </c:pt>
                <c:pt idx="70">
                  <c:v>801684044.98687887</c:v>
                </c:pt>
                <c:pt idx="71">
                  <c:v>871899705.23042345</c:v>
                </c:pt>
                <c:pt idx="72">
                  <c:v>865229787.04607153</c:v>
                </c:pt>
                <c:pt idx="73">
                  <c:v>890289518.18129301</c:v>
                </c:pt>
                <c:pt idx="74">
                  <c:v>830100933.88231564</c:v>
                </c:pt>
                <c:pt idx="75">
                  <c:v>833146249.99617386</c:v>
                </c:pt>
                <c:pt idx="76">
                  <c:v>1010045845.7311893</c:v>
                </c:pt>
                <c:pt idx="77">
                  <c:v>966249032.71389294</c:v>
                </c:pt>
                <c:pt idx="78">
                  <c:v>1054203387.1987209</c:v>
                </c:pt>
                <c:pt idx="79">
                  <c:v>1053252054.4863181</c:v>
                </c:pt>
                <c:pt idx="80">
                  <c:v>1066699581.8564072</c:v>
                </c:pt>
                <c:pt idx="81">
                  <c:v>981407335.55598307</c:v>
                </c:pt>
                <c:pt idx="82">
                  <c:v>984621349.99050474</c:v>
                </c:pt>
                <c:pt idx="83">
                  <c:v>936405636.37876272</c:v>
                </c:pt>
                <c:pt idx="84">
                  <c:v>996768968.88970852</c:v>
                </c:pt>
                <c:pt idx="85">
                  <c:v>946435271.70343208</c:v>
                </c:pt>
                <c:pt idx="86">
                  <c:v>891994132.51958227</c:v>
                </c:pt>
                <c:pt idx="87">
                  <c:v>851694470.44067287</c:v>
                </c:pt>
                <c:pt idx="88">
                  <c:v>1050249205.7738461</c:v>
                </c:pt>
                <c:pt idx="89">
                  <c:v>1010720111.3698688</c:v>
                </c:pt>
                <c:pt idx="90">
                  <c:v>1087719567.1478295</c:v>
                </c:pt>
                <c:pt idx="91">
                  <c:v>983527671.46930933</c:v>
                </c:pt>
                <c:pt idx="92">
                  <c:v>1132799663.3177714</c:v>
                </c:pt>
                <c:pt idx="93">
                  <c:v>1078330521.3806901</c:v>
                </c:pt>
                <c:pt idx="94">
                  <c:v>1020607852.1940641</c:v>
                </c:pt>
                <c:pt idx="95">
                  <c:v>1141094104.159451</c:v>
                </c:pt>
                <c:pt idx="96">
                  <c:v>1131728443.9953065</c:v>
                </c:pt>
                <c:pt idx="97">
                  <c:v>986239114.58554316</c:v>
                </c:pt>
                <c:pt idx="98">
                  <c:v>1133216652.1090465</c:v>
                </c:pt>
                <c:pt idx="99">
                  <c:v>994683548.06972122</c:v>
                </c:pt>
                <c:pt idx="100">
                  <c:v>1070320502.9108901</c:v>
                </c:pt>
                <c:pt idx="101">
                  <c:v>1175609940.4973397</c:v>
                </c:pt>
                <c:pt idx="102">
                  <c:v>1119135683.6704974</c:v>
                </c:pt>
                <c:pt idx="103">
                  <c:v>1128369883.0625806</c:v>
                </c:pt>
                <c:pt idx="104">
                  <c:v>1178761080.4530501</c:v>
                </c:pt>
                <c:pt idx="105">
                  <c:v>1083629282.7889657</c:v>
                </c:pt>
                <c:pt idx="106">
                  <c:v>1079120321.0563245</c:v>
                </c:pt>
                <c:pt idx="107">
                  <c:v>1142437816.0193658</c:v>
                </c:pt>
                <c:pt idx="108">
                  <c:v>1134902575.4744048</c:v>
                </c:pt>
                <c:pt idx="109">
                  <c:v>978715871.62049389</c:v>
                </c:pt>
                <c:pt idx="110">
                  <c:v>1013391853.615715</c:v>
                </c:pt>
                <c:pt idx="111">
                  <c:v>896159916.92499924</c:v>
                </c:pt>
                <c:pt idx="112">
                  <c:v>921647302.50548506</c:v>
                </c:pt>
                <c:pt idx="113">
                  <c:v>1015785184.9764147</c:v>
                </c:pt>
                <c:pt idx="114">
                  <c:v>1166437125.3047423</c:v>
                </c:pt>
                <c:pt idx="115">
                  <c:v>1224825657.1247993</c:v>
                </c:pt>
                <c:pt idx="116">
                  <c:v>1386248237.8728251</c:v>
                </c:pt>
                <c:pt idx="117">
                  <c:v>1626534902.4437165</c:v>
                </c:pt>
                <c:pt idx="118">
                  <c:v>1570609086.4973111</c:v>
                </c:pt>
                <c:pt idx="119">
                  <c:v>1918118623.772367</c:v>
                </c:pt>
                <c:pt idx="120">
                  <c:v>2379131832.6938825</c:v>
                </c:pt>
                <c:pt idx="121">
                  <c:v>2453650335.5481286</c:v>
                </c:pt>
                <c:pt idx="122">
                  <c:v>2483001239.3440776</c:v>
                </c:pt>
                <c:pt idx="123">
                  <c:v>2409917992.6394963</c:v>
                </c:pt>
                <c:pt idx="124">
                  <c:v>2818497721.0756125</c:v>
                </c:pt>
                <c:pt idx="125">
                  <c:v>3008807856.3567405</c:v>
                </c:pt>
                <c:pt idx="126">
                  <c:v>3399826464.8813167</c:v>
                </c:pt>
                <c:pt idx="127">
                  <c:v>3717015934.1608882</c:v>
                </c:pt>
                <c:pt idx="128">
                  <c:v>3847846463.4324136</c:v>
                </c:pt>
                <c:pt idx="129">
                  <c:v>4064088344.6142268</c:v>
                </c:pt>
                <c:pt idx="130">
                  <c:v>3926379948.319778</c:v>
                </c:pt>
                <c:pt idx="131">
                  <c:v>3867745656.63129</c:v>
                </c:pt>
                <c:pt idx="132">
                  <c:v>4504959741.9710064</c:v>
                </c:pt>
                <c:pt idx="133">
                  <c:v>4197041841.5286365</c:v>
                </c:pt>
                <c:pt idx="134">
                  <c:v>4022080467.6365237</c:v>
                </c:pt>
                <c:pt idx="135">
                  <c:v>3768704848.0822539</c:v>
                </c:pt>
                <c:pt idx="136">
                  <c:v>3851687745.6364217</c:v>
                </c:pt>
                <c:pt idx="137">
                  <c:v>4010624082.193748</c:v>
                </c:pt>
                <c:pt idx="138">
                  <c:v>4068333273.8769917</c:v>
                </c:pt>
                <c:pt idx="139">
                  <c:v>3839185287.4224982</c:v>
                </c:pt>
                <c:pt idx="140">
                  <c:v>3299298638.3748279</c:v>
                </c:pt>
                <c:pt idx="141">
                  <c:v>2561675280.4162488</c:v>
                </c:pt>
                <c:pt idx="142">
                  <c:v>2292491636.7930541</c:v>
                </c:pt>
                <c:pt idx="143">
                  <c:v>1985953706.3162866</c:v>
                </c:pt>
                <c:pt idx="144">
                  <c:v>1662643916.9373174</c:v>
                </c:pt>
                <c:pt idx="145">
                  <c:v>1597171647.8388848</c:v>
                </c:pt>
                <c:pt idx="146">
                  <c:v>1472701595.2136722</c:v>
                </c:pt>
                <c:pt idx="147">
                  <c:v>1373408558.7409606</c:v>
                </c:pt>
                <c:pt idx="148">
                  <c:v>1529190676.3993678</c:v>
                </c:pt>
                <c:pt idx="149">
                  <c:v>1407956766.4425387</c:v>
                </c:pt>
                <c:pt idx="150">
                  <c:v>1379100542.767839</c:v>
                </c:pt>
                <c:pt idx="151">
                  <c:v>1425900366.8636365</c:v>
                </c:pt>
                <c:pt idx="152">
                  <c:v>1388417156.1093459</c:v>
                </c:pt>
                <c:pt idx="153">
                  <c:v>1269225987.5931439</c:v>
                </c:pt>
                <c:pt idx="154">
                  <c:v>1303928062.3798213</c:v>
                </c:pt>
                <c:pt idx="155">
                  <c:v>1445177018.3675885</c:v>
                </c:pt>
                <c:pt idx="156">
                  <c:v>1675984908.2632623</c:v>
                </c:pt>
                <c:pt idx="157">
                  <c:v>1868067789.875586</c:v>
                </c:pt>
                <c:pt idx="158">
                  <c:v>1775531267.3165355</c:v>
                </c:pt>
                <c:pt idx="159">
                  <c:v>1793058005.2541327</c:v>
                </c:pt>
                <c:pt idx="160">
                  <c:v>1927028388.4592175</c:v>
                </c:pt>
                <c:pt idx="161">
                  <c:v>2417143328.7262549</c:v>
                </c:pt>
                <c:pt idx="162">
                  <c:v>2815249971.9044499</c:v>
                </c:pt>
                <c:pt idx="163">
                  <c:v>2810248294.473187</c:v>
                </c:pt>
                <c:pt idx="164">
                  <c:v>2473902184.9122853</c:v>
                </c:pt>
                <c:pt idx="165">
                  <c:v>2110224483.917851</c:v>
                </c:pt>
                <c:pt idx="166">
                  <c:v>2110581600.566709</c:v>
                </c:pt>
                <c:pt idx="167">
                  <c:v>2189770500.7888722</c:v>
                </c:pt>
                <c:pt idx="168">
                  <c:v>1536557730.3379493</c:v>
                </c:pt>
                <c:pt idx="169">
                  <c:v>2328357376.8870225</c:v>
                </c:pt>
                <c:pt idx="170">
                  <c:v>1778332962.0619855</c:v>
                </c:pt>
                <c:pt idx="171">
                  <c:v>1750303420.2639937</c:v>
                </c:pt>
                <c:pt idx="172">
                  <c:v>1832629593.7260671</c:v>
                </c:pt>
                <c:pt idx="173">
                  <c:v>1976113756.9880786</c:v>
                </c:pt>
                <c:pt idx="174">
                  <c:v>1914245306.1488996</c:v>
                </c:pt>
                <c:pt idx="175">
                  <c:v>1932731810.2901807</c:v>
                </c:pt>
                <c:pt idx="176">
                  <c:v>1940815449.4868598</c:v>
                </c:pt>
                <c:pt idx="177">
                  <c:v>1638192813.7977195</c:v>
                </c:pt>
                <c:pt idx="178">
                  <c:v>1985763155.8959022</c:v>
                </c:pt>
                <c:pt idx="179">
                  <c:v>2099568576.445992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7D2-4910-96A2-C6DCBCE57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6736191"/>
        <c:axId val="436736671"/>
      </c:lineChart>
      <c:dateAx>
        <c:axId val="43673619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36736671"/>
        <c:crosses val="autoZero"/>
        <c:auto val="1"/>
        <c:lblOffset val="100"/>
        <c:baseTimeUnit val="months"/>
      </c:dateAx>
      <c:valAx>
        <c:axId val="43673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3673619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</xdr:colOff>
      <xdr:row>6</xdr:row>
      <xdr:rowOff>26670</xdr:rowOff>
    </xdr:from>
    <xdr:to>
      <xdr:col>27</xdr:col>
      <xdr:colOff>434340</xdr:colOff>
      <xdr:row>27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</xdr:colOff>
      <xdr:row>6</xdr:row>
      <xdr:rowOff>26670</xdr:rowOff>
    </xdr:from>
    <xdr:to>
      <xdr:col>27</xdr:col>
      <xdr:colOff>434340</xdr:colOff>
      <xdr:row>27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896246</xdr:colOff>
      <xdr:row>18</xdr:row>
      <xdr:rowOff>178508</xdr:rowOff>
    </xdr:from>
    <xdr:to>
      <xdr:col>47</xdr:col>
      <xdr:colOff>440839</xdr:colOff>
      <xdr:row>44</xdr:row>
      <xdr:rowOff>26221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1"/>
  <sheetViews>
    <sheetView workbookViewId="0">
      <selection activeCell="M1" sqref="M1:P3"/>
    </sheetView>
  </sheetViews>
  <sheetFormatPr defaultRowHeight="16.2" x14ac:dyDescent="0.3"/>
  <cols>
    <col min="2" max="6" width="12.77734375" style="21" bestFit="1" customWidth="1"/>
    <col min="7" max="8" width="9.5546875" style="21" bestFit="1" customWidth="1"/>
    <col min="9" max="9" width="7.88671875" style="21" bestFit="1" customWidth="1"/>
    <col min="14" max="14" width="16.77734375" style="21" customWidth="1"/>
    <col min="15" max="15" width="12.77734375" style="21" bestFit="1" customWidth="1"/>
  </cols>
  <sheetData>
    <row r="1" spans="1:16" x14ac:dyDescent="0.3">
      <c r="A1" s="6" t="s">
        <v>0</v>
      </c>
      <c r="B1" s="5" t="s">
        <v>1</v>
      </c>
      <c r="C1" s="13" t="s">
        <v>54</v>
      </c>
      <c r="D1" s="13" t="s">
        <v>55</v>
      </c>
      <c r="E1" s="4" t="s">
        <v>56</v>
      </c>
      <c r="F1" s="4" t="s">
        <v>57</v>
      </c>
      <c r="G1" s="4" t="s">
        <v>58</v>
      </c>
      <c r="H1" s="4" t="s">
        <v>59</v>
      </c>
      <c r="I1" s="4" t="s">
        <v>60</v>
      </c>
      <c r="J1" s="4" t="s">
        <v>61</v>
      </c>
      <c r="M1" s="4"/>
      <c r="N1" s="4" t="s">
        <v>21</v>
      </c>
      <c r="O1" s="4" t="s">
        <v>22</v>
      </c>
      <c r="P1" s="4" t="s">
        <v>23</v>
      </c>
    </row>
    <row r="2" spans="1:16" x14ac:dyDescent="0.3">
      <c r="A2" s="7">
        <v>40544</v>
      </c>
      <c r="B2" s="5">
        <v>530164083.30000001</v>
      </c>
      <c r="C2" s="1"/>
      <c r="D2" s="1"/>
      <c r="E2" s="1"/>
      <c r="F2" s="1"/>
      <c r="G2" s="1"/>
      <c r="H2" s="1"/>
      <c r="I2" s="1"/>
      <c r="J2" s="1"/>
      <c r="M2" s="8" t="s">
        <v>62</v>
      </c>
      <c r="N2" s="9">
        <f>(AVERAGE(G8:G181))^0.5</f>
        <v>261210557.8193545</v>
      </c>
      <c r="O2" s="1">
        <f>AVERAGE(E8:E181)</f>
        <v>153776684.96551722</v>
      </c>
      <c r="P2" s="3">
        <f>AVERAGE(I8:I181)</f>
        <v>9.3300717852636758E-2</v>
      </c>
    </row>
    <row r="3" spans="1:16" x14ac:dyDescent="0.3">
      <c r="A3" s="7">
        <v>40575</v>
      </c>
      <c r="B3" s="5">
        <v>442050146.30000001</v>
      </c>
      <c r="C3" s="1"/>
      <c r="D3" s="1"/>
      <c r="E3" s="1"/>
      <c r="F3" s="1"/>
      <c r="G3" s="1"/>
      <c r="H3" s="1"/>
      <c r="I3" s="1"/>
      <c r="J3" s="1"/>
      <c r="M3" s="8" t="s">
        <v>63</v>
      </c>
      <c r="N3" s="9">
        <f>(AVERAGE(H8:H181))^0.5</f>
        <v>376307513.51359433</v>
      </c>
      <c r="O3" s="1">
        <f>AVERAGE(F8:F181)</f>
        <v>214964518.72720307</v>
      </c>
      <c r="P3" s="3">
        <f>AVERAGE(J8:J181)</f>
        <v>0.12886707798347408</v>
      </c>
    </row>
    <row r="4" spans="1:16" x14ac:dyDescent="0.3">
      <c r="A4" s="7">
        <v>40603</v>
      </c>
      <c r="B4" s="5">
        <v>458910901.10000002</v>
      </c>
      <c r="C4" s="1"/>
      <c r="D4" s="1"/>
      <c r="E4" s="1"/>
      <c r="F4" s="1"/>
      <c r="G4" s="1"/>
      <c r="H4" s="1"/>
      <c r="I4" s="1"/>
      <c r="J4" s="1"/>
    </row>
    <row r="5" spans="1:16" x14ac:dyDescent="0.3">
      <c r="A5" s="7">
        <v>40634</v>
      </c>
      <c r="B5" s="5">
        <v>521655176</v>
      </c>
      <c r="C5" s="1">
        <f t="shared" ref="C5:C36" si="0">AVERAGEA(B2:B4)</f>
        <v>477041710.23333335</v>
      </c>
      <c r="D5" s="1"/>
      <c r="E5" s="1">
        <f t="shared" ref="E5:E36" si="1">ABS(B5-C5)</f>
        <v>44613465.766666651</v>
      </c>
      <c r="F5" s="1"/>
      <c r="G5" s="2">
        <f t="shared" ref="G5:G36" si="2">(B5-C5)^2</f>
        <v>1990361327713537.3</v>
      </c>
      <c r="H5" s="1"/>
      <c r="I5" s="3">
        <f t="shared" ref="I5:I36" si="3">E5/B5</f>
        <v>8.5522904438058614E-2</v>
      </c>
      <c r="J5" s="1"/>
    </row>
    <row r="6" spans="1:16" x14ac:dyDescent="0.3">
      <c r="A6" s="7">
        <v>40664</v>
      </c>
      <c r="B6" s="5">
        <v>521870479.60000002</v>
      </c>
      <c r="C6" s="1">
        <f t="shared" si="0"/>
        <v>474205407.80000001</v>
      </c>
      <c r="D6" s="1"/>
      <c r="E6" s="1">
        <f t="shared" si="1"/>
        <v>47665071.800000012</v>
      </c>
      <c r="F6" s="1"/>
      <c r="G6" s="2">
        <f t="shared" si="2"/>
        <v>2271959069699156.5</v>
      </c>
      <c r="H6" s="1"/>
      <c r="I6" s="3">
        <f t="shared" si="3"/>
        <v>9.1335060447439054E-2</v>
      </c>
      <c r="J6" s="1"/>
    </row>
    <row r="7" spans="1:16" x14ac:dyDescent="0.3">
      <c r="A7" s="7">
        <v>40695</v>
      </c>
      <c r="B7" s="5">
        <v>530635299.39999998</v>
      </c>
      <c r="C7" s="1">
        <f t="shared" si="0"/>
        <v>500812185.56666666</v>
      </c>
      <c r="D7" s="1"/>
      <c r="E7" s="1">
        <f t="shared" si="1"/>
        <v>29823113.833333313</v>
      </c>
      <c r="F7" s="1"/>
      <c r="G7" s="2">
        <f t="shared" si="2"/>
        <v>889418118715956.88</v>
      </c>
      <c r="H7" s="1"/>
      <c r="I7" s="3">
        <f t="shared" si="3"/>
        <v>5.6202657205532518E-2</v>
      </c>
      <c r="J7" s="1"/>
    </row>
    <row r="8" spans="1:16" x14ac:dyDescent="0.3">
      <c r="A8" s="7">
        <v>40725</v>
      </c>
      <c r="B8" s="5">
        <v>526166118</v>
      </c>
      <c r="C8" s="1">
        <f t="shared" si="0"/>
        <v>524720318.33333331</v>
      </c>
      <c r="D8" s="1">
        <f t="shared" ref="D8:D39" si="4">AVERAGE(B2:B7)</f>
        <v>500881014.28333336</v>
      </c>
      <c r="E8" s="1">
        <f t="shared" si="1"/>
        <v>1445799.6666666865</v>
      </c>
      <c r="F8" s="1">
        <f t="shared" ref="F8:F39" si="5">ABS(B8-D8)</f>
        <v>25285103.716666639</v>
      </c>
      <c r="G8" s="2">
        <f t="shared" si="2"/>
        <v>2090336676133.502</v>
      </c>
      <c r="H8" s="2">
        <f t="shared" ref="H8:H39" si="6">(B8-D8)^2</f>
        <v>639336469962589.13</v>
      </c>
      <c r="I8" s="3">
        <f t="shared" si="3"/>
        <v>2.7478007747102533E-3</v>
      </c>
      <c r="J8" s="3">
        <f t="shared" ref="J8:J39" si="7">F8/B8</f>
        <v>4.8055362843919647E-2</v>
      </c>
    </row>
    <row r="9" spans="1:16" x14ac:dyDescent="0.3">
      <c r="A9" s="7">
        <v>40756</v>
      </c>
      <c r="B9" s="5">
        <v>520844989.30000001</v>
      </c>
      <c r="C9" s="1">
        <f t="shared" si="0"/>
        <v>526223965.66666669</v>
      </c>
      <c r="D9" s="1">
        <f t="shared" si="4"/>
        <v>500214686.73333335</v>
      </c>
      <c r="E9" s="1">
        <f t="shared" si="1"/>
        <v>5378976.3666666746</v>
      </c>
      <c r="F9" s="1">
        <f t="shared" si="5"/>
        <v>20630302.566666663</v>
      </c>
      <c r="G9" s="2">
        <f t="shared" si="2"/>
        <v>28933386753158.621</v>
      </c>
      <c r="H9" s="2">
        <f t="shared" si="6"/>
        <v>425609383992213.06</v>
      </c>
      <c r="I9" s="3">
        <f t="shared" si="3"/>
        <v>1.0327403502327741E-2</v>
      </c>
      <c r="J9" s="3">
        <f t="shared" si="7"/>
        <v>3.960929449353668E-2</v>
      </c>
    </row>
    <row r="10" spans="1:16" x14ac:dyDescent="0.3">
      <c r="A10" s="7">
        <v>40787</v>
      </c>
      <c r="B10" s="5">
        <v>484694267.89999998</v>
      </c>
      <c r="C10" s="1">
        <f t="shared" si="0"/>
        <v>525882135.56666666</v>
      </c>
      <c r="D10" s="1">
        <f t="shared" si="4"/>
        <v>513347160.56666666</v>
      </c>
      <c r="E10" s="1">
        <f t="shared" si="1"/>
        <v>41187867.666666687</v>
      </c>
      <c r="F10" s="1">
        <f t="shared" si="5"/>
        <v>28652892.666666687</v>
      </c>
      <c r="G10" s="2">
        <f t="shared" si="2"/>
        <v>1696440442926847</v>
      </c>
      <c r="H10" s="2">
        <f t="shared" si="6"/>
        <v>820988258167521.63</v>
      </c>
      <c r="I10" s="3">
        <f t="shared" si="3"/>
        <v>8.4977005907493811E-2</v>
      </c>
      <c r="J10" s="3">
        <f t="shared" si="7"/>
        <v>5.9115394103604765E-2</v>
      </c>
    </row>
    <row r="11" spans="1:16" x14ac:dyDescent="0.3">
      <c r="A11" s="7">
        <v>40817</v>
      </c>
      <c r="B11" s="5">
        <v>494560586.5</v>
      </c>
      <c r="C11" s="1">
        <f t="shared" si="0"/>
        <v>510568458.39999992</v>
      </c>
      <c r="D11" s="1">
        <f t="shared" si="4"/>
        <v>517644388.36666673</v>
      </c>
      <c r="E11" s="1">
        <f t="shared" si="1"/>
        <v>16007871.899999917</v>
      </c>
      <c r="F11" s="1">
        <f t="shared" si="5"/>
        <v>23083801.866666734</v>
      </c>
      <c r="G11" s="2">
        <f t="shared" si="2"/>
        <v>256251962766806.94</v>
      </c>
      <c r="H11" s="2">
        <f t="shared" si="6"/>
        <v>532861908619526.63</v>
      </c>
      <c r="I11" s="3">
        <f t="shared" si="3"/>
        <v>3.2367868238929946E-2</v>
      </c>
      <c r="J11" s="3">
        <f t="shared" si="7"/>
        <v>4.6675377085809759E-2</v>
      </c>
    </row>
    <row r="12" spans="1:16" x14ac:dyDescent="0.3">
      <c r="A12" s="7">
        <v>40848</v>
      </c>
      <c r="B12" s="5">
        <v>481736591.5</v>
      </c>
      <c r="C12" s="1">
        <f t="shared" si="0"/>
        <v>500033281.23333335</v>
      </c>
      <c r="D12" s="1">
        <f t="shared" si="4"/>
        <v>513128623.44999999</v>
      </c>
      <c r="E12" s="1">
        <f t="shared" si="1"/>
        <v>18296689.733333349</v>
      </c>
      <c r="F12" s="1">
        <f t="shared" si="5"/>
        <v>31392031.949999988</v>
      </c>
      <c r="G12" s="2">
        <f t="shared" si="2"/>
        <v>334768855197866</v>
      </c>
      <c r="H12" s="2">
        <f t="shared" si="6"/>
        <v>985459669949820</v>
      </c>
      <c r="I12" s="3">
        <f t="shared" si="3"/>
        <v>3.7980693300382909E-2</v>
      </c>
      <c r="J12" s="3">
        <f t="shared" si="7"/>
        <v>6.5164308678013275E-2</v>
      </c>
    </row>
    <row r="13" spans="1:16" x14ac:dyDescent="0.3">
      <c r="A13" s="7">
        <v>40878</v>
      </c>
      <c r="B13" s="5">
        <v>465883225.39999998</v>
      </c>
      <c r="C13" s="1">
        <f t="shared" si="0"/>
        <v>486997148.63333338</v>
      </c>
      <c r="D13" s="1">
        <f t="shared" si="4"/>
        <v>506439642.09999996</v>
      </c>
      <c r="E13" s="1">
        <f t="shared" si="1"/>
        <v>21113923.233333409</v>
      </c>
      <c r="F13" s="1">
        <f t="shared" si="5"/>
        <v>40556416.699999988</v>
      </c>
      <c r="G13" s="2">
        <f t="shared" si="2"/>
        <v>445797754303096.31</v>
      </c>
      <c r="H13" s="2">
        <f t="shared" si="6"/>
        <v>1644822935544038</v>
      </c>
      <c r="I13" s="3">
        <f t="shared" si="3"/>
        <v>4.5320204897279413E-2</v>
      </c>
      <c r="J13" s="3">
        <f t="shared" si="7"/>
        <v>8.7052751609974555E-2</v>
      </c>
    </row>
    <row r="14" spans="1:16" x14ac:dyDescent="0.3">
      <c r="A14" s="7">
        <v>40909</v>
      </c>
      <c r="B14" s="5">
        <v>689942417.10000002</v>
      </c>
      <c r="C14" s="1">
        <f t="shared" si="0"/>
        <v>480726801.13333338</v>
      </c>
      <c r="D14" s="1">
        <f t="shared" si="4"/>
        <v>495647629.76666665</v>
      </c>
      <c r="E14" s="1">
        <f t="shared" si="1"/>
        <v>209215615.96666664</v>
      </c>
      <c r="F14" s="1">
        <f t="shared" si="5"/>
        <v>194294787.33333337</v>
      </c>
      <c r="G14" s="2">
        <f t="shared" si="2"/>
        <v>4.3771173964311736E+16</v>
      </c>
      <c r="H14" s="2">
        <f t="shared" si="6"/>
        <v>3.775046438490524E+16</v>
      </c>
      <c r="I14" s="3">
        <f t="shared" si="3"/>
        <v>0.30323634376047209</v>
      </c>
      <c r="J14" s="3">
        <f t="shared" si="7"/>
        <v>0.2816101496556811</v>
      </c>
    </row>
    <row r="15" spans="1:16" x14ac:dyDescent="0.3">
      <c r="A15" s="7">
        <v>40940</v>
      </c>
      <c r="B15" s="5">
        <v>644837026</v>
      </c>
      <c r="C15" s="1">
        <f t="shared" si="0"/>
        <v>545854078</v>
      </c>
      <c r="D15" s="1">
        <f t="shared" si="4"/>
        <v>522943679.61666662</v>
      </c>
      <c r="E15" s="1">
        <f t="shared" si="1"/>
        <v>98982948</v>
      </c>
      <c r="F15" s="1">
        <f t="shared" si="5"/>
        <v>121893346.38333338</v>
      </c>
      <c r="G15" s="2">
        <f t="shared" si="2"/>
        <v>9797623994770704</v>
      </c>
      <c r="H15" s="2">
        <f t="shared" si="6"/>
        <v>1.4857987892527294E+16</v>
      </c>
      <c r="I15" s="3">
        <f t="shared" si="3"/>
        <v>0.1535007203510054</v>
      </c>
      <c r="J15" s="3">
        <f t="shared" si="7"/>
        <v>0.18902969505248818</v>
      </c>
    </row>
    <row r="16" spans="1:16" x14ac:dyDescent="0.3">
      <c r="A16" s="7">
        <v>40969</v>
      </c>
      <c r="B16" s="5">
        <v>721740438.60000002</v>
      </c>
      <c r="C16" s="1">
        <f t="shared" si="0"/>
        <v>600220889.5</v>
      </c>
      <c r="D16" s="1">
        <f t="shared" si="4"/>
        <v>543609019.06666672</v>
      </c>
      <c r="E16" s="1">
        <f t="shared" si="1"/>
        <v>121519549.10000002</v>
      </c>
      <c r="F16" s="1">
        <f t="shared" si="5"/>
        <v>178131419.5333333</v>
      </c>
      <c r="G16" s="2">
        <f t="shared" si="2"/>
        <v>1.4767000813467316E+16</v>
      </c>
      <c r="H16" s="2">
        <f t="shared" si="6"/>
        <v>3.1730802624960396E+16</v>
      </c>
      <c r="I16" s="3">
        <f t="shared" si="3"/>
        <v>0.16837015442243786</v>
      </c>
      <c r="J16" s="3">
        <f t="shared" si="7"/>
        <v>0.24680814598509224</v>
      </c>
    </row>
    <row r="17" spans="1:10" x14ac:dyDescent="0.3">
      <c r="A17" s="7">
        <v>41000</v>
      </c>
      <c r="B17" s="5">
        <v>840048569.70000005</v>
      </c>
      <c r="C17" s="1">
        <f t="shared" si="0"/>
        <v>685506627.23333323</v>
      </c>
      <c r="D17" s="1">
        <f t="shared" si="4"/>
        <v>583116714.18333328</v>
      </c>
      <c r="E17" s="1">
        <f t="shared" si="1"/>
        <v>154541942.46666682</v>
      </c>
      <c r="F17" s="1">
        <f t="shared" si="5"/>
        <v>256931855.51666677</v>
      </c>
      <c r="G17" s="2">
        <f t="shared" si="2"/>
        <v>2.3883211981370556E+16</v>
      </c>
      <c r="H17" s="2">
        <f t="shared" si="6"/>
        <v>6.6013978379237328E+16</v>
      </c>
      <c r="I17" s="3">
        <f t="shared" si="3"/>
        <v>0.18396786571740389</v>
      </c>
      <c r="J17" s="3">
        <f t="shared" si="7"/>
        <v>0.30585357178623951</v>
      </c>
    </row>
    <row r="18" spans="1:10" x14ac:dyDescent="0.3">
      <c r="A18" s="7">
        <v>41030</v>
      </c>
      <c r="B18" s="5">
        <v>906526843.5</v>
      </c>
      <c r="C18" s="1">
        <f t="shared" si="0"/>
        <v>735542011.4333334</v>
      </c>
      <c r="D18" s="1">
        <f t="shared" si="4"/>
        <v>640698044.7166667</v>
      </c>
      <c r="E18" s="1">
        <f t="shared" si="1"/>
        <v>170984832.0666666</v>
      </c>
      <c r="F18" s="1">
        <f t="shared" si="5"/>
        <v>265828798.7833333</v>
      </c>
      <c r="G18" s="2">
        <f t="shared" si="2"/>
        <v>2.923581279686618E+16</v>
      </c>
      <c r="H18" s="2">
        <f t="shared" si="6"/>
        <v>7.0664950262589904E+16</v>
      </c>
      <c r="I18" s="3">
        <f t="shared" si="3"/>
        <v>0.18861529947255953</v>
      </c>
      <c r="J18" s="3">
        <f t="shared" si="7"/>
        <v>0.29323875039044367</v>
      </c>
    </row>
    <row r="19" spans="1:10" x14ac:dyDescent="0.3">
      <c r="A19" s="7">
        <v>41061</v>
      </c>
      <c r="B19" s="5">
        <v>943162982.5</v>
      </c>
      <c r="C19" s="1">
        <f t="shared" si="0"/>
        <v>822771950.60000002</v>
      </c>
      <c r="D19" s="1">
        <f t="shared" si="4"/>
        <v>711496420.05000007</v>
      </c>
      <c r="E19" s="1">
        <f t="shared" si="1"/>
        <v>120391031.89999998</v>
      </c>
      <c r="F19" s="1">
        <f t="shared" si="5"/>
        <v>231666562.44999993</v>
      </c>
      <c r="G19" s="2">
        <f t="shared" si="2"/>
        <v>1.4494000561946812E+16</v>
      </c>
      <c r="H19" s="2">
        <f t="shared" si="6"/>
        <v>5.366939615739972E+16</v>
      </c>
      <c r="I19" s="3">
        <f t="shared" si="3"/>
        <v>0.12764605283901712</v>
      </c>
      <c r="J19" s="3">
        <f t="shared" si="7"/>
        <v>0.24562728473071718</v>
      </c>
    </row>
    <row r="20" spans="1:10" x14ac:dyDescent="0.3">
      <c r="A20" s="7">
        <v>41091</v>
      </c>
      <c r="B20" s="5">
        <v>947372879.70000005</v>
      </c>
      <c r="C20" s="1">
        <f t="shared" si="0"/>
        <v>896579465.23333323</v>
      </c>
      <c r="D20" s="1">
        <f t="shared" si="4"/>
        <v>791043046.23333323</v>
      </c>
      <c r="E20" s="1">
        <f t="shared" si="1"/>
        <v>50793414.466666818</v>
      </c>
      <c r="F20" s="1">
        <f t="shared" si="5"/>
        <v>156329833.46666682</v>
      </c>
      <c r="G20" s="2">
        <f t="shared" si="2"/>
        <v>2579970953182598</v>
      </c>
      <c r="H20" s="2">
        <f t="shared" si="6"/>
        <v>2.443901683171578E+16</v>
      </c>
      <c r="I20" s="3">
        <f t="shared" si="3"/>
        <v>5.3615018494883787E-2</v>
      </c>
      <c r="J20" s="3">
        <f t="shared" si="7"/>
        <v>0.16501404760095204</v>
      </c>
    </row>
    <row r="21" spans="1:10" x14ac:dyDescent="0.3">
      <c r="A21" s="7">
        <v>41122</v>
      </c>
      <c r="B21" s="5">
        <v>969690342.79999995</v>
      </c>
      <c r="C21" s="1">
        <f t="shared" si="0"/>
        <v>932354235.23333323</v>
      </c>
      <c r="D21" s="1">
        <f t="shared" si="4"/>
        <v>833948123.33333337</v>
      </c>
      <c r="E21" s="1">
        <f t="shared" si="1"/>
        <v>37336107.566666722</v>
      </c>
      <c r="F21" s="1">
        <f t="shared" si="5"/>
        <v>135742219.46666658</v>
      </c>
      <c r="G21" s="2">
        <f t="shared" si="2"/>
        <v>1393984928229708</v>
      </c>
      <c r="H21" s="2">
        <f t="shared" si="6"/>
        <v>1.8425950145736676E+16</v>
      </c>
      <c r="I21" s="3">
        <f t="shared" si="3"/>
        <v>3.8503124057993582E-2</v>
      </c>
      <c r="J21" s="3">
        <f t="shared" si="7"/>
        <v>0.13998512048156347</v>
      </c>
    </row>
    <row r="22" spans="1:10" x14ac:dyDescent="0.3">
      <c r="A22" s="7">
        <v>41153</v>
      </c>
      <c r="B22" s="5">
        <v>955855309.39999998</v>
      </c>
      <c r="C22" s="1">
        <f t="shared" si="0"/>
        <v>953408735</v>
      </c>
      <c r="D22" s="1">
        <f t="shared" si="4"/>
        <v>888090342.80000007</v>
      </c>
      <c r="E22" s="1">
        <f t="shared" si="1"/>
        <v>2446574.3999999762</v>
      </c>
      <c r="F22" s="1">
        <f t="shared" si="5"/>
        <v>67764966.599999905</v>
      </c>
      <c r="G22" s="2">
        <f t="shared" si="2"/>
        <v>5985726294735.2432</v>
      </c>
      <c r="H22" s="2">
        <f t="shared" si="6"/>
        <v>4592090698299103</v>
      </c>
      <c r="I22" s="3">
        <f t="shared" si="3"/>
        <v>2.5595656329363442E-3</v>
      </c>
      <c r="J22" s="3">
        <f t="shared" si="7"/>
        <v>7.0894586171767623E-2</v>
      </c>
    </row>
    <row r="23" spans="1:10" x14ac:dyDescent="0.3">
      <c r="A23" s="7">
        <v>41183</v>
      </c>
      <c r="B23" s="5">
        <v>909802011.20000005</v>
      </c>
      <c r="C23" s="1">
        <f t="shared" si="0"/>
        <v>957639510.63333333</v>
      </c>
      <c r="D23" s="1">
        <f t="shared" si="4"/>
        <v>927109487.93333328</v>
      </c>
      <c r="E23" s="1">
        <f t="shared" si="1"/>
        <v>47837499.433333278</v>
      </c>
      <c r="F23" s="1">
        <f t="shared" si="5"/>
        <v>17307476.73333323</v>
      </c>
      <c r="G23" s="2">
        <f t="shared" si="2"/>
        <v>2288426352034161.5</v>
      </c>
      <c r="H23" s="2">
        <f t="shared" si="6"/>
        <v>299548750874871.13</v>
      </c>
      <c r="I23" s="3">
        <f t="shared" si="3"/>
        <v>5.2580120558578594E-2</v>
      </c>
      <c r="J23" s="3">
        <f t="shared" si="7"/>
        <v>1.9023344112534129E-2</v>
      </c>
    </row>
    <row r="24" spans="1:10" x14ac:dyDescent="0.3">
      <c r="A24" s="7">
        <v>41214</v>
      </c>
      <c r="B24" s="5">
        <v>860151481.89999998</v>
      </c>
      <c r="C24" s="1">
        <f t="shared" si="0"/>
        <v>945115887.79999983</v>
      </c>
      <c r="D24" s="1">
        <f t="shared" si="4"/>
        <v>938735061.51666653</v>
      </c>
      <c r="E24" s="1">
        <f t="shared" si="1"/>
        <v>84964405.899999857</v>
      </c>
      <c r="F24" s="1">
        <f t="shared" si="5"/>
        <v>78583579.616666555</v>
      </c>
      <c r="G24" s="2">
        <f t="shared" si="2"/>
        <v>7218950269939931</v>
      </c>
      <c r="H24" s="2">
        <f t="shared" si="6"/>
        <v>6175378985368971</v>
      </c>
      <c r="I24" s="3">
        <f t="shared" si="3"/>
        <v>9.8778421810447686E-2</v>
      </c>
      <c r="J24" s="3">
        <f t="shared" si="7"/>
        <v>9.1360163029751751E-2</v>
      </c>
    </row>
    <row r="25" spans="1:10" x14ac:dyDescent="0.3">
      <c r="A25" s="7">
        <v>41244</v>
      </c>
      <c r="B25" s="5">
        <v>859447165.10000002</v>
      </c>
      <c r="C25" s="1">
        <f t="shared" si="0"/>
        <v>908602934.16666663</v>
      </c>
      <c r="D25" s="1">
        <f t="shared" si="4"/>
        <v>931005834.58333337</v>
      </c>
      <c r="E25" s="1">
        <f t="shared" si="1"/>
        <v>49155769.066666603</v>
      </c>
      <c r="F25" s="1">
        <f t="shared" si="5"/>
        <v>71558669.483333349</v>
      </c>
      <c r="G25" s="2">
        <f t="shared" si="2"/>
        <v>2416289632535457.5</v>
      </c>
      <c r="H25" s="2">
        <f t="shared" si="6"/>
        <v>5120643178224944</v>
      </c>
      <c r="I25" s="3">
        <f t="shared" si="3"/>
        <v>5.7194637509738182E-2</v>
      </c>
      <c r="J25" s="3">
        <f t="shared" si="7"/>
        <v>8.3261278167119465E-2</v>
      </c>
    </row>
    <row r="26" spans="1:10" x14ac:dyDescent="0.3">
      <c r="A26" s="7">
        <v>41275</v>
      </c>
      <c r="B26" s="5">
        <v>925917386.20000005</v>
      </c>
      <c r="C26" s="1">
        <f t="shared" si="0"/>
        <v>876466886.0666666</v>
      </c>
      <c r="D26" s="1">
        <f t="shared" si="4"/>
        <v>917053198.35000002</v>
      </c>
      <c r="E26" s="1">
        <f t="shared" si="1"/>
        <v>49450500.133333445</v>
      </c>
      <c r="F26" s="1">
        <f t="shared" si="5"/>
        <v>8864187.8500000238</v>
      </c>
      <c r="G26" s="2">
        <f t="shared" si="2"/>
        <v>2445351963436811</v>
      </c>
      <c r="H26" s="2">
        <f t="shared" si="6"/>
        <v>78573826240088.047</v>
      </c>
      <c r="I26" s="3">
        <f t="shared" si="3"/>
        <v>5.3407032711935747E-2</v>
      </c>
      <c r="J26" s="3">
        <f t="shared" si="7"/>
        <v>9.5734111726522228E-3</v>
      </c>
    </row>
    <row r="27" spans="1:10" x14ac:dyDescent="0.3">
      <c r="A27" s="7">
        <v>41306</v>
      </c>
      <c r="B27" s="5">
        <v>761347210.5</v>
      </c>
      <c r="C27" s="1">
        <f t="shared" si="0"/>
        <v>881838677.73333323</v>
      </c>
      <c r="D27" s="1">
        <f t="shared" si="4"/>
        <v>913477282.76666653</v>
      </c>
      <c r="E27" s="1">
        <f t="shared" si="1"/>
        <v>120491467.23333323</v>
      </c>
      <c r="F27" s="1">
        <f t="shared" si="5"/>
        <v>152130072.26666653</v>
      </c>
      <c r="G27" s="2">
        <f t="shared" si="2"/>
        <v>1.4518193676041416E+16</v>
      </c>
      <c r="H27" s="2">
        <f t="shared" si="6"/>
        <v>2.314355888786118E+16</v>
      </c>
      <c r="I27" s="3">
        <f t="shared" si="3"/>
        <v>0.1582608638628922</v>
      </c>
      <c r="J27" s="3">
        <f t="shared" si="7"/>
        <v>0.19981694313525897</v>
      </c>
    </row>
    <row r="28" spans="1:10" x14ac:dyDescent="0.3">
      <c r="A28" s="7">
        <v>41334</v>
      </c>
      <c r="B28" s="5">
        <v>839943452.60000002</v>
      </c>
      <c r="C28" s="1">
        <f t="shared" si="0"/>
        <v>848903920.60000002</v>
      </c>
      <c r="D28" s="1">
        <f t="shared" si="4"/>
        <v>878753427.38333333</v>
      </c>
      <c r="E28" s="1">
        <f t="shared" si="1"/>
        <v>8960468</v>
      </c>
      <c r="F28" s="1">
        <f t="shared" si="5"/>
        <v>38809974.783333302</v>
      </c>
      <c r="G28" s="2">
        <f t="shared" si="2"/>
        <v>80289986779024</v>
      </c>
      <c r="H28" s="2">
        <f t="shared" si="6"/>
        <v>1506214142682966.8</v>
      </c>
      <c r="I28" s="3">
        <f t="shared" si="3"/>
        <v>1.0667941957596492E-2</v>
      </c>
      <c r="J28" s="3">
        <f t="shared" si="7"/>
        <v>4.620546140719247E-2</v>
      </c>
    </row>
    <row r="29" spans="1:10" x14ac:dyDescent="0.3">
      <c r="A29" s="7">
        <v>41365</v>
      </c>
      <c r="B29" s="5">
        <v>865907095</v>
      </c>
      <c r="C29" s="1">
        <f t="shared" si="0"/>
        <v>842402683.10000002</v>
      </c>
      <c r="D29" s="1">
        <f t="shared" si="4"/>
        <v>859434784.58333337</v>
      </c>
      <c r="E29" s="1">
        <f t="shared" si="1"/>
        <v>23504411.899999976</v>
      </c>
      <c r="F29" s="1">
        <f t="shared" si="5"/>
        <v>6472310.4166666269</v>
      </c>
      <c r="G29" s="2">
        <f t="shared" si="2"/>
        <v>552457378764860.5</v>
      </c>
      <c r="H29" s="2">
        <f t="shared" si="6"/>
        <v>41890802129691.328</v>
      </c>
      <c r="I29" s="3">
        <f t="shared" si="3"/>
        <v>2.7144265286335338E-2</v>
      </c>
      <c r="J29" s="3">
        <f t="shared" si="7"/>
        <v>7.4746014370821465E-3</v>
      </c>
    </row>
    <row r="30" spans="1:10" x14ac:dyDescent="0.3">
      <c r="A30" s="7">
        <v>41395</v>
      </c>
      <c r="B30" s="5">
        <v>900888985.5</v>
      </c>
      <c r="C30" s="1">
        <f t="shared" si="0"/>
        <v>822399252.69999993</v>
      </c>
      <c r="D30" s="1">
        <f t="shared" si="4"/>
        <v>852118965.21666658</v>
      </c>
      <c r="E30" s="1">
        <f t="shared" si="1"/>
        <v>78489732.800000072</v>
      </c>
      <c r="F30" s="1">
        <f t="shared" si="5"/>
        <v>48770020.283333421</v>
      </c>
      <c r="G30" s="2">
        <f t="shared" si="2"/>
        <v>6160638155015407</v>
      </c>
      <c r="H30" s="2">
        <f t="shared" si="6"/>
        <v>2378514878436753.5</v>
      </c>
      <c r="I30" s="3">
        <f t="shared" si="3"/>
        <v>8.7124755728296199E-2</v>
      </c>
      <c r="J30" s="3">
        <f t="shared" si="7"/>
        <v>5.4135438514952762E-2</v>
      </c>
    </row>
    <row r="31" spans="1:10" x14ac:dyDescent="0.3">
      <c r="A31" s="7">
        <v>41426</v>
      </c>
      <c r="B31" s="5">
        <v>947114792.79999995</v>
      </c>
      <c r="C31" s="1">
        <f t="shared" si="0"/>
        <v>868913177.69999993</v>
      </c>
      <c r="D31" s="1">
        <f t="shared" si="4"/>
        <v>858908549.14999998</v>
      </c>
      <c r="E31" s="1">
        <f t="shared" si="1"/>
        <v>78201615.100000024</v>
      </c>
      <c r="F31" s="1">
        <f t="shared" si="5"/>
        <v>88206243.649999976</v>
      </c>
      <c r="G31" s="2">
        <f t="shared" si="2"/>
        <v>6115492604248552</v>
      </c>
      <c r="H31" s="2">
        <f t="shared" si="6"/>
        <v>7780341418843161</v>
      </c>
      <c r="I31" s="3">
        <f t="shared" si="3"/>
        <v>8.2568254338852537E-2</v>
      </c>
      <c r="J31" s="3">
        <f t="shared" si="7"/>
        <v>9.3131523570898642E-2</v>
      </c>
    </row>
    <row r="32" spans="1:10" x14ac:dyDescent="0.3">
      <c r="A32" s="7">
        <v>41456</v>
      </c>
      <c r="B32" s="5">
        <v>884253253.89999998</v>
      </c>
      <c r="C32" s="1">
        <f t="shared" si="0"/>
        <v>904636957.76666677</v>
      </c>
      <c r="D32" s="1">
        <f t="shared" si="4"/>
        <v>873519820.4333334</v>
      </c>
      <c r="E32" s="1">
        <f t="shared" si="1"/>
        <v>20383703.866666794</v>
      </c>
      <c r="F32" s="1">
        <f t="shared" si="5"/>
        <v>10733433.466666579</v>
      </c>
      <c r="G32" s="2">
        <f t="shared" si="2"/>
        <v>415495383323966.81</v>
      </c>
      <c r="H32" s="2">
        <f t="shared" si="6"/>
        <v>115206593983358.14</v>
      </c>
      <c r="I32" s="3">
        <f t="shared" si="3"/>
        <v>2.3051884487576883E-2</v>
      </c>
      <c r="J32" s="3">
        <f t="shared" si="7"/>
        <v>1.2138415571926662E-2</v>
      </c>
    </row>
    <row r="33" spans="1:10" x14ac:dyDescent="0.3">
      <c r="A33" s="7">
        <v>41487</v>
      </c>
      <c r="B33" s="5">
        <v>959370275.39999998</v>
      </c>
      <c r="C33" s="1">
        <f t="shared" si="0"/>
        <v>910752344.0666666</v>
      </c>
      <c r="D33" s="1">
        <f t="shared" si="4"/>
        <v>866575798.38333321</v>
      </c>
      <c r="E33" s="1">
        <f t="shared" si="1"/>
        <v>48617931.333333373</v>
      </c>
      <c r="F33" s="1">
        <f t="shared" si="5"/>
        <v>92794477.01666677</v>
      </c>
      <c r="G33" s="2">
        <f t="shared" si="2"/>
        <v>2363703247132719</v>
      </c>
      <c r="H33" s="2">
        <f t="shared" si="6"/>
        <v>8610814964796697</v>
      </c>
      <c r="I33" s="3">
        <f t="shared" si="3"/>
        <v>5.0676920663466046E-2</v>
      </c>
      <c r="J33" s="3">
        <f t="shared" si="7"/>
        <v>9.6724361173246717E-2</v>
      </c>
    </row>
    <row r="34" spans="1:10" x14ac:dyDescent="0.3">
      <c r="A34" s="7">
        <v>41518</v>
      </c>
      <c r="B34" s="5">
        <v>953423947.39999998</v>
      </c>
      <c r="C34" s="1">
        <f t="shared" si="0"/>
        <v>930246107.36666667</v>
      </c>
      <c r="D34" s="1">
        <f t="shared" si="4"/>
        <v>899579642.53333318</v>
      </c>
      <c r="E34" s="1">
        <f t="shared" si="1"/>
        <v>23177840.033333302</v>
      </c>
      <c r="F34" s="1">
        <f t="shared" si="5"/>
        <v>53844304.866666794</v>
      </c>
      <c r="G34" s="2">
        <f t="shared" si="2"/>
        <v>537212268610787.88</v>
      </c>
      <c r="H34" s="2">
        <f t="shared" si="6"/>
        <v>2899209166574557.5</v>
      </c>
      <c r="I34" s="3">
        <f t="shared" si="3"/>
        <v>2.4310108946329265E-2</v>
      </c>
      <c r="J34" s="3">
        <f t="shared" si="7"/>
        <v>5.6474672168137736E-2</v>
      </c>
    </row>
    <row r="35" spans="1:10" x14ac:dyDescent="0.3">
      <c r="A35" s="7">
        <v>41548</v>
      </c>
      <c r="B35" s="5">
        <v>845610436.70000005</v>
      </c>
      <c r="C35" s="1">
        <f t="shared" si="0"/>
        <v>932349158.89999998</v>
      </c>
      <c r="D35" s="1">
        <f t="shared" si="4"/>
        <v>918493058.33333337</v>
      </c>
      <c r="E35" s="1">
        <f t="shared" si="1"/>
        <v>86738722.199999928</v>
      </c>
      <c r="F35" s="1">
        <f t="shared" si="5"/>
        <v>72882621.633333325</v>
      </c>
      <c r="G35" s="2">
        <f t="shared" si="2"/>
        <v>7523605928888760</v>
      </c>
      <c r="H35" s="2">
        <f t="shared" si="6"/>
        <v>5311876536147627</v>
      </c>
      <c r="I35" s="3">
        <f t="shared" si="3"/>
        <v>0.10257527395061292</v>
      </c>
      <c r="J35" s="3">
        <f t="shared" si="7"/>
        <v>8.618935915426755E-2</v>
      </c>
    </row>
    <row r="36" spans="1:10" x14ac:dyDescent="0.3">
      <c r="A36" s="7">
        <v>41579</v>
      </c>
      <c r="B36" s="5">
        <v>871151610.39999998</v>
      </c>
      <c r="C36" s="1">
        <f t="shared" si="0"/>
        <v>919468219.83333337</v>
      </c>
      <c r="D36" s="1">
        <f t="shared" si="4"/>
        <v>915110281.94999993</v>
      </c>
      <c r="E36" s="1">
        <f t="shared" si="1"/>
        <v>48316609.433333397</v>
      </c>
      <c r="F36" s="1">
        <f t="shared" si="5"/>
        <v>43958671.549999952</v>
      </c>
      <c r="G36" s="2">
        <f t="shared" si="2"/>
        <v>2334494747133282</v>
      </c>
      <c r="H36" s="2">
        <f t="shared" si="6"/>
        <v>1932364804440775.3</v>
      </c>
      <c r="I36" s="3">
        <f t="shared" si="3"/>
        <v>5.5462916967057241E-2</v>
      </c>
      <c r="J36" s="3">
        <f t="shared" si="7"/>
        <v>5.0460414725992171E-2</v>
      </c>
    </row>
    <row r="37" spans="1:10" x14ac:dyDescent="0.3">
      <c r="A37" s="7">
        <v>41609</v>
      </c>
      <c r="B37" s="5">
        <v>910706403.20000005</v>
      </c>
      <c r="C37" s="1">
        <f t="shared" ref="C37:C68" si="8">AVERAGEA(B34:B36)</f>
        <v>890061998.16666663</v>
      </c>
      <c r="D37" s="1">
        <f t="shared" si="4"/>
        <v>910154052.76666653</v>
      </c>
      <c r="E37" s="1">
        <f t="shared" ref="E37:E68" si="9">ABS(B37-C37)</f>
        <v>20644405.033333421</v>
      </c>
      <c r="F37" s="1">
        <f t="shared" si="5"/>
        <v>552350.43333351612</v>
      </c>
      <c r="G37" s="2">
        <f t="shared" ref="G37:G68" si="10">(B37-C37)^2</f>
        <v>426191459180322.25</v>
      </c>
      <c r="H37" s="2">
        <f t="shared" si="6"/>
        <v>305091001203.72302</v>
      </c>
      <c r="I37" s="3">
        <f t="shared" ref="I37:I68" si="11">E37/B37</f>
        <v>2.2668562514542578E-2</v>
      </c>
      <c r="J37" s="3">
        <f t="shared" si="7"/>
        <v>6.0650768611342969E-4</v>
      </c>
    </row>
    <row r="38" spans="1:10" x14ac:dyDescent="0.3">
      <c r="A38" s="7">
        <v>41640</v>
      </c>
      <c r="B38" s="5">
        <v>918238567.29999995</v>
      </c>
      <c r="C38" s="1">
        <f t="shared" si="8"/>
        <v>875822816.76666677</v>
      </c>
      <c r="D38" s="1">
        <f t="shared" si="4"/>
        <v>904085987.83333313</v>
      </c>
      <c r="E38" s="1">
        <f t="shared" si="9"/>
        <v>42415750.533333182</v>
      </c>
      <c r="F38" s="1">
        <f t="shared" si="5"/>
        <v>14152579.466666818</v>
      </c>
      <c r="G38" s="2">
        <f t="shared" si="10"/>
        <v>1799095893305954.3</v>
      </c>
      <c r="H38" s="2">
        <f t="shared" si="6"/>
        <v>200295505560319.22</v>
      </c>
      <c r="I38" s="3">
        <f t="shared" si="11"/>
        <v>4.6192516894659502E-2</v>
      </c>
      <c r="J38" s="3">
        <f t="shared" si="7"/>
        <v>1.5412747809407785E-2</v>
      </c>
    </row>
    <row r="39" spans="1:10" x14ac:dyDescent="0.3">
      <c r="A39" s="7">
        <v>41671</v>
      </c>
      <c r="B39" s="5">
        <v>751231030.10000002</v>
      </c>
      <c r="C39" s="1">
        <f t="shared" si="8"/>
        <v>900032193.63333321</v>
      </c>
      <c r="D39" s="1">
        <f t="shared" si="4"/>
        <v>909750206.73333347</v>
      </c>
      <c r="E39" s="1">
        <f t="shared" si="9"/>
        <v>148801163.53333318</v>
      </c>
      <c r="F39" s="1">
        <f t="shared" si="5"/>
        <v>158519176.63333344</v>
      </c>
      <c r="G39" s="2">
        <f t="shared" si="10"/>
        <v>2.2141786268873764E+16</v>
      </c>
      <c r="H39" s="2">
        <f t="shared" si="6"/>
        <v>2.5128329360509968E+16</v>
      </c>
      <c r="I39" s="3">
        <f t="shared" si="11"/>
        <v>0.19807643397467958</v>
      </c>
      <c r="J39" s="3">
        <f t="shared" si="7"/>
        <v>0.21101255177416217</v>
      </c>
    </row>
    <row r="40" spans="1:10" x14ac:dyDescent="0.3">
      <c r="A40" s="7">
        <v>41699</v>
      </c>
      <c r="B40" s="5">
        <v>877090455.20000005</v>
      </c>
      <c r="C40" s="1">
        <f t="shared" si="8"/>
        <v>860058666.86666667</v>
      </c>
      <c r="D40" s="1">
        <f t="shared" ref="D40:D71" si="12">AVERAGE(B34:B39)</f>
        <v>875060332.51666677</v>
      </c>
      <c r="E40" s="1">
        <f t="shared" si="9"/>
        <v>17031788.333333373</v>
      </c>
      <c r="F40" s="1">
        <f t="shared" ref="F40:F71" si="13">ABS(B40-D40)</f>
        <v>2030122.6833332777</v>
      </c>
      <c r="G40" s="2">
        <f t="shared" si="10"/>
        <v>290081813831470.81</v>
      </c>
      <c r="H40" s="2">
        <f t="shared" ref="H40:H71" si="14">(B40-D40)^2</f>
        <v>4121398109384.3076</v>
      </c>
      <c r="I40" s="3">
        <f t="shared" si="11"/>
        <v>1.9418508356073342E-2</v>
      </c>
      <c r="J40" s="3">
        <f t="shared" ref="J40:J71" si="15">F40/B40</f>
        <v>2.3146103931439496E-3</v>
      </c>
    </row>
    <row r="41" spans="1:10" x14ac:dyDescent="0.3">
      <c r="A41" s="7">
        <v>41730</v>
      </c>
      <c r="B41" s="5">
        <v>911312078.79999995</v>
      </c>
      <c r="C41" s="1">
        <f t="shared" si="8"/>
        <v>848853350.86666679</v>
      </c>
      <c r="D41" s="1">
        <f t="shared" si="12"/>
        <v>862338083.81666672</v>
      </c>
      <c r="E41" s="1">
        <f t="shared" si="9"/>
        <v>62458727.933333158</v>
      </c>
      <c r="F41" s="1">
        <f t="shared" si="13"/>
        <v>48973994.98333323</v>
      </c>
      <c r="G41" s="2">
        <f t="shared" si="10"/>
        <v>3901092695050132</v>
      </c>
      <c r="H41" s="2">
        <f t="shared" si="14"/>
        <v>2398452184627548.5</v>
      </c>
      <c r="I41" s="3">
        <f t="shared" si="11"/>
        <v>6.8537144833609287E-2</v>
      </c>
      <c r="J41" s="3">
        <f t="shared" si="15"/>
        <v>5.3740092030626151E-2</v>
      </c>
    </row>
    <row r="42" spans="1:10" x14ac:dyDescent="0.3">
      <c r="A42" s="7">
        <v>41760</v>
      </c>
      <c r="B42" s="5">
        <v>977854756.89999998</v>
      </c>
      <c r="C42" s="1">
        <f t="shared" si="8"/>
        <v>846544521.36666679</v>
      </c>
      <c r="D42" s="1">
        <f t="shared" si="12"/>
        <v>873288357.5</v>
      </c>
      <c r="E42" s="1">
        <f t="shared" si="9"/>
        <v>131310235.53333318</v>
      </c>
      <c r="F42" s="1">
        <f t="shared" si="13"/>
        <v>104566399.39999998</v>
      </c>
      <c r="G42" s="2">
        <f t="shared" si="10"/>
        <v>1.7242377955819436E+16</v>
      </c>
      <c r="H42" s="2">
        <f t="shared" si="14"/>
        <v>1.0934131883480316E+16</v>
      </c>
      <c r="I42" s="3">
        <f t="shared" si="11"/>
        <v>0.1342839870714681</v>
      </c>
      <c r="J42" s="3">
        <f t="shared" si="15"/>
        <v>0.10693448966950563</v>
      </c>
    </row>
    <row r="43" spans="1:10" x14ac:dyDescent="0.3">
      <c r="A43" s="7">
        <v>41791</v>
      </c>
      <c r="B43" s="5">
        <v>969604267.20000005</v>
      </c>
      <c r="C43" s="1">
        <f t="shared" si="8"/>
        <v>922085763.63333333</v>
      </c>
      <c r="D43" s="1">
        <f t="shared" si="12"/>
        <v>891072215.25</v>
      </c>
      <c r="E43" s="1">
        <f t="shared" si="9"/>
        <v>47518503.566666722</v>
      </c>
      <c r="F43" s="1">
        <f t="shared" si="13"/>
        <v>78532051.950000048</v>
      </c>
      <c r="G43" s="2">
        <f t="shared" si="10"/>
        <v>2258008181215318</v>
      </c>
      <c r="H43" s="2">
        <f t="shared" si="14"/>
        <v>6167283183477506</v>
      </c>
      <c r="I43" s="3">
        <f t="shared" si="11"/>
        <v>4.900814195454143E-2</v>
      </c>
      <c r="J43" s="3">
        <f t="shared" si="15"/>
        <v>8.0993921547790851E-2</v>
      </c>
    </row>
    <row r="44" spans="1:10" x14ac:dyDescent="0.3">
      <c r="A44" s="7">
        <v>41821</v>
      </c>
      <c r="B44" s="5">
        <v>1017547567</v>
      </c>
      <c r="C44" s="1">
        <f t="shared" si="8"/>
        <v>952923700.96666658</v>
      </c>
      <c r="D44" s="1">
        <f t="shared" si="12"/>
        <v>900888525.91666663</v>
      </c>
      <c r="E44" s="1">
        <f t="shared" si="9"/>
        <v>64623866.033333421</v>
      </c>
      <c r="F44" s="1">
        <f t="shared" si="13"/>
        <v>116659041.08333337</v>
      </c>
      <c r="G44" s="2">
        <f t="shared" si="10"/>
        <v>4176244061094225</v>
      </c>
      <c r="H44" s="2">
        <f t="shared" si="14"/>
        <v>1.3609331866482864E+16</v>
      </c>
      <c r="I44" s="3">
        <f t="shared" si="11"/>
        <v>6.3509430054323371E-2</v>
      </c>
      <c r="J44" s="3">
        <f t="shared" si="15"/>
        <v>0.11464726059664725</v>
      </c>
    </row>
    <row r="45" spans="1:10" x14ac:dyDescent="0.3">
      <c r="A45" s="7">
        <v>41852</v>
      </c>
      <c r="B45" s="5">
        <v>1027165762</v>
      </c>
      <c r="C45" s="1">
        <f t="shared" si="8"/>
        <v>988335530.36666667</v>
      </c>
      <c r="D45" s="1">
        <f t="shared" si="12"/>
        <v>917440025.86666679</v>
      </c>
      <c r="E45" s="1">
        <f t="shared" si="9"/>
        <v>38830231.633333325</v>
      </c>
      <c r="F45" s="1">
        <f t="shared" si="13"/>
        <v>109725736.13333321</v>
      </c>
      <c r="G45" s="2">
        <f t="shared" si="10"/>
        <v>1507786888698320</v>
      </c>
      <c r="H45" s="2">
        <f t="shared" si="14"/>
        <v>1.2039737170001864E+16</v>
      </c>
      <c r="I45" s="3">
        <f t="shared" si="11"/>
        <v>3.7803276812621529E-2</v>
      </c>
      <c r="J45" s="3">
        <f t="shared" si="15"/>
        <v>0.10682378657139587</v>
      </c>
    </row>
    <row r="46" spans="1:10" x14ac:dyDescent="0.3">
      <c r="A46" s="7">
        <v>41883</v>
      </c>
      <c r="B46" s="5">
        <v>1031279058</v>
      </c>
      <c r="C46" s="1">
        <f t="shared" si="8"/>
        <v>1004772532.0666666</v>
      </c>
      <c r="D46" s="1">
        <f t="shared" si="12"/>
        <v>963429147.85000002</v>
      </c>
      <c r="E46" s="1">
        <f t="shared" si="9"/>
        <v>26506525.933333397</v>
      </c>
      <c r="F46" s="1">
        <f t="shared" si="13"/>
        <v>67849910.149999976</v>
      </c>
      <c r="G46" s="2">
        <f t="shared" si="10"/>
        <v>702595917054475.88</v>
      </c>
      <c r="H46" s="2">
        <f t="shared" si="14"/>
        <v>4603610307363070</v>
      </c>
      <c r="I46" s="3">
        <f t="shared" si="11"/>
        <v>2.5702573641647047E-2</v>
      </c>
      <c r="J46" s="3">
        <f t="shared" si="15"/>
        <v>6.5791998415621833E-2</v>
      </c>
    </row>
    <row r="47" spans="1:10" x14ac:dyDescent="0.3">
      <c r="A47" s="7">
        <v>41913</v>
      </c>
      <c r="B47" s="5">
        <v>994093092.79999995</v>
      </c>
      <c r="C47" s="1">
        <f t="shared" si="8"/>
        <v>1025330795.6666666</v>
      </c>
      <c r="D47" s="1">
        <f t="shared" si="12"/>
        <v>989127248.3166666</v>
      </c>
      <c r="E47" s="1">
        <f t="shared" si="9"/>
        <v>31237702.866666675</v>
      </c>
      <c r="F47" s="1">
        <f t="shared" si="13"/>
        <v>4965844.4833333492</v>
      </c>
      <c r="G47" s="2">
        <f t="shared" si="10"/>
        <v>975794080386155.38</v>
      </c>
      <c r="H47" s="2">
        <f t="shared" si="14"/>
        <v>24659611432652.258</v>
      </c>
      <c r="I47" s="3">
        <f t="shared" si="11"/>
        <v>3.1423317486978394E-2</v>
      </c>
      <c r="J47" s="3">
        <f t="shared" si="15"/>
        <v>4.9953515614381393E-3</v>
      </c>
    </row>
    <row r="48" spans="1:10" x14ac:dyDescent="0.3">
      <c r="A48" s="7">
        <v>41944</v>
      </c>
      <c r="B48" s="5">
        <v>932364953.10000002</v>
      </c>
      <c r="C48" s="1">
        <f t="shared" si="8"/>
        <v>1017512637.6</v>
      </c>
      <c r="D48" s="1">
        <f t="shared" si="12"/>
        <v>1002924083.9833335</v>
      </c>
      <c r="E48" s="1">
        <f t="shared" si="9"/>
        <v>85147684.5</v>
      </c>
      <c r="F48" s="1">
        <f t="shared" si="13"/>
        <v>70559130.883333445</v>
      </c>
      <c r="G48" s="2">
        <f t="shared" si="10"/>
        <v>7250128175711540</v>
      </c>
      <c r="H48" s="2">
        <f t="shared" si="14"/>
        <v>4978590951011379</v>
      </c>
      <c r="I48" s="3">
        <f t="shared" si="11"/>
        <v>9.1324415634558453E-2</v>
      </c>
      <c r="J48" s="3">
        <f t="shared" si="15"/>
        <v>7.5677588104028276E-2</v>
      </c>
    </row>
    <row r="49" spans="1:10" x14ac:dyDescent="0.3">
      <c r="A49" s="7">
        <v>41974</v>
      </c>
      <c r="B49" s="5">
        <v>992656608.70000005</v>
      </c>
      <c r="C49" s="1">
        <f t="shared" si="8"/>
        <v>985912367.9666667</v>
      </c>
      <c r="D49" s="1">
        <f t="shared" si="12"/>
        <v>995342450.01666677</v>
      </c>
      <c r="E49" s="1">
        <f t="shared" si="9"/>
        <v>6744240.7333333492</v>
      </c>
      <c r="F49" s="1">
        <f t="shared" si="13"/>
        <v>2685841.3166667223</v>
      </c>
      <c r="G49" s="2">
        <f t="shared" si="10"/>
        <v>45484783069152.75</v>
      </c>
      <c r="H49" s="2">
        <f t="shared" si="14"/>
        <v>7213743578314.0322</v>
      </c>
      <c r="I49" s="3">
        <f t="shared" si="11"/>
        <v>6.7941327083549281E-3</v>
      </c>
      <c r="J49" s="3">
        <f t="shared" si="15"/>
        <v>2.7057104069292863E-3</v>
      </c>
    </row>
    <row r="50" spans="1:10" x14ac:dyDescent="0.3">
      <c r="A50" s="7">
        <v>42005</v>
      </c>
      <c r="B50" s="5">
        <v>930726495.20000005</v>
      </c>
      <c r="C50" s="1">
        <f t="shared" si="8"/>
        <v>973038218.20000017</v>
      </c>
      <c r="D50" s="1">
        <f t="shared" si="12"/>
        <v>999184506.9333334</v>
      </c>
      <c r="E50" s="1">
        <f t="shared" si="9"/>
        <v>42311723.000000119</v>
      </c>
      <c r="F50" s="1">
        <f t="shared" si="13"/>
        <v>68458011.733333349</v>
      </c>
      <c r="G50" s="2">
        <f t="shared" si="10"/>
        <v>1790281903228739</v>
      </c>
      <c r="H50" s="2">
        <f t="shared" si="14"/>
        <v>4686499370481207</v>
      </c>
      <c r="I50" s="3">
        <f t="shared" si="11"/>
        <v>4.5460963256351614E-2</v>
      </c>
      <c r="J50" s="3">
        <f t="shared" si="15"/>
        <v>7.3553307106211357E-2</v>
      </c>
    </row>
    <row r="51" spans="1:10" x14ac:dyDescent="0.3">
      <c r="A51" s="7">
        <v>42036</v>
      </c>
      <c r="B51" s="5">
        <v>869749540.60000002</v>
      </c>
      <c r="C51" s="1">
        <f t="shared" si="8"/>
        <v>951916019</v>
      </c>
      <c r="D51" s="1">
        <f t="shared" si="12"/>
        <v>984714328.30000007</v>
      </c>
      <c r="E51" s="1">
        <f t="shared" si="9"/>
        <v>82166478.399999976</v>
      </c>
      <c r="F51" s="1">
        <f t="shared" si="13"/>
        <v>114964787.70000005</v>
      </c>
      <c r="G51" s="2">
        <f t="shared" si="10"/>
        <v>6751330172657663</v>
      </c>
      <c r="H51" s="2">
        <f t="shared" si="14"/>
        <v>1.3216902410906082E+16</v>
      </c>
      <c r="I51" s="3">
        <f t="shared" si="11"/>
        <v>9.4471424892408812E-2</v>
      </c>
      <c r="J51" s="3">
        <f t="shared" si="15"/>
        <v>0.13218148712178812</v>
      </c>
    </row>
    <row r="52" spans="1:10" x14ac:dyDescent="0.3">
      <c r="A52" s="7">
        <v>42064</v>
      </c>
      <c r="B52" s="5">
        <v>908891613.29999995</v>
      </c>
      <c r="C52" s="1">
        <f t="shared" si="8"/>
        <v>931044214.83333337</v>
      </c>
      <c r="D52" s="1">
        <f t="shared" si="12"/>
        <v>958478291.4000001</v>
      </c>
      <c r="E52" s="1">
        <f t="shared" si="9"/>
        <v>22152601.533333421</v>
      </c>
      <c r="F52" s="1">
        <f t="shared" si="13"/>
        <v>49586678.100000143</v>
      </c>
      <c r="G52" s="2">
        <f t="shared" si="10"/>
        <v>490737754694646.25</v>
      </c>
      <c r="H52" s="2">
        <f t="shared" si="14"/>
        <v>2458838644993034</v>
      </c>
      <c r="I52" s="3">
        <f t="shared" si="11"/>
        <v>2.4373204911531582E-2</v>
      </c>
      <c r="J52" s="3">
        <f t="shared" si="15"/>
        <v>5.4557306255650258E-2</v>
      </c>
    </row>
    <row r="53" spans="1:10" x14ac:dyDescent="0.3">
      <c r="A53" s="7">
        <v>42095</v>
      </c>
      <c r="B53" s="5">
        <v>872724221</v>
      </c>
      <c r="C53" s="1">
        <f t="shared" si="8"/>
        <v>903122549.70000017</v>
      </c>
      <c r="D53" s="1">
        <f t="shared" si="12"/>
        <v>938080383.95000017</v>
      </c>
      <c r="E53" s="1">
        <f t="shared" si="9"/>
        <v>30398328.700000167</v>
      </c>
      <c r="F53" s="1">
        <f t="shared" si="13"/>
        <v>65356162.950000167</v>
      </c>
      <c r="G53" s="2">
        <f t="shared" si="10"/>
        <v>924058387753253.88</v>
      </c>
      <c r="H53" s="2">
        <f t="shared" si="14"/>
        <v>4271428035546974.5</v>
      </c>
      <c r="I53" s="3">
        <f t="shared" si="11"/>
        <v>3.4831540099997026E-2</v>
      </c>
      <c r="J53" s="3">
        <f t="shared" si="15"/>
        <v>7.4887531911412564E-2</v>
      </c>
    </row>
    <row r="54" spans="1:10" x14ac:dyDescent="0.3">
      <c r="A54" s="7">
        <v>42125</v>
      </c>
      <c r="B54" s="5">
        <v>922912817</v>
      </c>
      <c r="C54" s="1">
        <f t="shared" si="8"/>
        <v>883788458.30000007</v>
      </c>
      <c r="D54" s="1">
        <f t="shared" si="12"/>
        <v>917852238.64999998</v>
      </c>
      <c r="E54" s="1">
        <f t="shared" si="9"/>
        <v>39124358.699999928</v>
      </c>
      <c r="F54" s="1">
        <f t="shared" si="13"/>
        <v>5060578.3500000238</v>
      </c>
      <c r="G54" s="2">
        <f t="shared" si="10"/>
        <v>1530715443686260</v>
      </c>
      <c r="H54" s="2">
        <f t="shared" si="14"/>
        <v>25609453236488.965</v>
      </c>
      <c r="I54" s="3">
        <f t="shared" si="11"/>
        <v>4.2392258487834969E-2</v>
      </c>
      <c r="J54" s="3">
        <f t="shared" si="15"/>
        <v>5.4832680365734087E-3</v>
      </c>
    </row>
    <row r="55" spans="1:10" x14ac:dyDescent="0.3">
      <c r="A55" s="7">
        <v>42156</v>
      </c>
      <c r="B55" s="5">
        <v>913545656.20000005</v>
      </c>
      <c r="C55" s="1">
        <f t="shared" si="8"/>
        <v>901509550.4333334</v>
      </c>
      <c r="D55" s="1">
        <f t="shared" si="12"/>
        <v>916276882.63333333</v>
      </c>
      <c r="E55" s="1">
        <f t="shared" si="9"/>
        <v>12036105.766666651</v>
      </c>
      <c r="F55" s="1">
        <f t="shared" si="13"/>
        <v>2731226.4333332777</v>
      </c>
      <c r="G55" s="2">
        <f t="shared" si="10"/>
        <v>144867842026386.22</v>
      </c>
      <c r="H55" s="2">
        <f t="shared" si="14"/>
        <v>7459597830138.417</v>
      </c>
      <c r="I55" s="3">
        <f t="shared" si="11"/>
        <v>1.3175155160533782E-2</v>
      </c>
      <c r="J55" s="3">
        <f t="shared" si="15"/>
        <v>2.9896988889358124E-3</v>
      </c>
    </row>
    <row r="56" spans="1:10" x14ac:dyDescent="0.3">
      <c r="A56" s="7">
        <v>42186</v>
      </c>
      <c r="B56" s="5">
        <v>837831860.39999998</v>
      </c>
      <c r="C56" s="1">
        <f t="shared" si="8"/>
        <v>903060898.0666666</v>
      </c>
      <c r="D56" s="1">
        <f t="shared" si="12"/>
        <v>903091723.88333333</v>
      </c>
      <c r="E56" s="1">
        <f t="shared" si="9"/>
        <v>65229037.666666627</v>
      </c>
      <c r="F56" s="1">
        <f t="shared" si="13"/>
        <v>65259863.483333349</v>
      </c>
      <c r="G56" s="2">
        <f t="shared" si="10"/>
        <v>4254827354919413.5</v>
      </c>
      <c r="H56" s="2">
        <f t="shared" si="14"/>
        <v>4258849781863305.5</v>
      </c>
      <c r="I56" s="3">
        <f t="shared" si="11"/>
        <v>7.7854568141541916E-2</v>
      </c>
      <c r="J56" s="3">
        <f t="shared" si="15"/>
        <v>7.7891360507795451E-2</v>
      </c>
    </row>
    <row r="57" spans="1:10" x14ac:dyDescent="0.3">
      <c r="A57" s="7">
        <v>42217</v>
      </c>
      <c r="B57" s="5">
        <v>856752647.70000005</v>
      </c>
      <c r="C57" s="1">
        <f t="shared" si="8"/>
        <v>891430111.19999993</v>
      </c>
      <c r="D57" s="1">
        <f t="shared" si="12"/>
        <v>887609284.75</v>
      </c>
      <c r="E57" s="1">
        <f t="shared" si="9"/>
        <v>34677463.499999881</v>
      </c>
      <c r="F57" s="1">
        <f t="shared" si="13"/>
        <v>30856637.049999952</v>
      </c>
      <c r="G57" s="2">
        <f t="shared" si="10"/>
        <v>1202526474793824</v>
      </c>
      <c r="H57" s="2">
        <f t="shared" si="14"/>
        <v>952132050035429.75</v>
      </c>
      <c r="I57" s="3">
        <f t="shared" si="11"/>
        <v>4.0475466977655049E-2</v>
      </c>
      <c r="J57" s="3">
        <f t="shared" si="15"/>
        <v>3.6015805883805908E-2</v>
      </c>
    </row>
    <row r="58" spans="1:10" x14ac:dyDescent="0.3">
      <c r="A58" s="7">
        <v>42248</v>
      </c>
      <c r="B58" s="5">
        <v>797657575.5</v>
      </c>
      <c r="C58" s="1">
        <f t="shared" si="8"/>
        <v>869376721.4333334</v>
      </c>
      <c r="D58" s="1">
        <f t="shared" si="12"/>
        <v>885443135.93333328</v>
      </c>
      <c r="E58" s="1">
        <f t="shared" si="9"/>
        <v>71719145.933333397</v>
      </c>
      <c r="F58" s="1">
        <f t="shared" si="13"/>
        <v>87785560.433333278</v>
      </c>
      <c r="G58" s="2">
        <f t="shared" si="10"/>
        <v>5143635893406772</v>
      </c>
      <c r="H58" s="2">
        <f t="shared" si="14"/>
        <v>7706304620594409</v>
      </c>
      <c r="I58" s="3">
        <f t="shared" si="11"/>
        <v>8.9912198086224276E-2</v>
      </c>
      <c r="J58" s="3">
        <f t="shared" si="15"/>
        <v>0.11005419258797383</v>
      </c>
    </row>
    <row r="59" spans="1:10" x14ac:dyDescent="0.3">
      <c r="A59" s="7">
        <v>42278</v>
      </c>
      <c r="B59" s="5">
        <v>766819965.20000005</v>
      </c>
      <c r="C59" s="1">
        <f t="shared" si="8"/>
        <v>830747361.19999993</v>
      </c>
      <c r="D59" s="1">
        <f t="shared" si="12"/>
        <v>866904129.63333333</v>
      </c>
      <c r="E59" s="1">
        <f t="shared" si="9"/>
        <v>63927395.999999881</v>
      </c>
      <c r="F59" s="1">
        <f t="shared" si="13"/>
        <v>100084164.43333328</v>
      </c>
      <c r="G59" s="2">
        <f t="shared" si="10"/>
        <v>4086711959340801</v>
      </c>
      <c r="H59" s="2">
        <f t="shared" si="14"/>
        <v>1.0016839970318494E+16</v>
      </c>
      <c r="I59" s="3">
        <f t="shared" si="11"/>
        <v>8.3366890406050526E-2</v>
      </c>
      <c r="J59" s="3">
        <f t="shared" si="15"/>
        <v>0.13051846453584393</v>
      </c>
    </row>
    <row r="60" spans="1:10" x14ac:dyDescent="0.3">
      <c r="A60" s="7">
        <v>42309</v>
      </c>
      <c r="B60" s="5">
        <v>789902871.79999995</v>
      </c>
      <c r="C60" s="1">
        <f t="shared" si="8"/>
        <v>807076729.4666667</v>
      </c>
      <c r="D60" s="1">
        <f t="shared" si="12"/>
        <v>849253420.33333337</v>
      </c>
      <c r="E60" s="1">
        <f t="shared" si="9"/>
        <v>17173857.666666746</v>
      </c>
      <c r="F60" s="1">
        <f t="shared" si="13"/>
        <v>59350548.533333421</v>
      </c>
      <c r="G60" s="2">
        <f t="shared" si="10"/>
        <v>294941387154928.19</v>
      </c>
      <c r="H60" s="2">
        <f t="shared" si="14"/>
        <v>3522487611207566</v>
      </c>
      <c r="I60" s="3">
        <f t="shared" si="11"/>
        <v>2.1741733420378162E-2</v>
      </c>
      <c r="J60" s="3">
        <f t="shared" si="15"/>
        <v>7.5136514440171234E-2</v>
      </c>
    </row>
    <row r="61" spans="1:10" x14ac:dyDescent="0.3">
      <c r="A61" s="7">
        <v>42339</v>
      </c>
      <c r="B61" s="5">
        <v>741903290.29999995</v>
      </c>
      <c r="C61" s="1">
        <f t="shared" si="8"/>
        <v>784793470.83333337</v>
      </c>
      <c r="D61" s="1">
        <f t="shared" si="12"/>
        <v>827085096.13333333</v>
      </c>
      <c r="E61" s="1">
        <f t="shared" si="9"/>
        <v>42890180.533333421</v>
      </c>
      <c r="F61" s="1">
        <f t="shared" si="13"/>
        <v>85181805.833333373</v>
      </c>
      <c r="G61" s="2">
        <f t="shared" si="10"/>
        <v>1839567586181933</v>
      </c>
      <c r="H61" s="2">
        <f t="shared" si="14"/>
        <v>7255940045027707</v>
      </c>
      <c r="I61" s="3">
        <f t="shared" si="11"/>
        <v>5.7811012694107503E-2</v>
      </c>
      <c r="J61" s="3">
        <f t="shared" si="15"/>
        <v>0.1148152420228367</v>
      </c>
    </row>
    <row r="62" spans="1:10" x14ac:dyDescent="0.3">
      <c r="A62" s="7">
        <v>42370</v>
      </c>
      <c r="B62" s="5">
        <v>738471168.70000005</v>
      </c>
      <c r="C62" s="1">
        <f t="shared" si="8"/>
        <v>766208709.10000002</v>
      </c>
      <c r="D62" s="1">
        <f t="shared" si="12"/>
        <v>798478035.1500001</v>
      </c>
      <c r="E62" s="1">
        <f t="shared" si="9"/>
        <v>27737540.399999976</v>
      </c>
      <c r="F62" s="1">
        <f t="shared" si="13"/>
        <v>60006866.450000048</v>
      </c>
      <c r="G62" s="2">
        <f t="shared" si="10"/>
        <v>769371147441630.88</v>
      </c>
      <c r="H62" s="2">
        <f t="shared" si="14"/>
        <v>3600824021148141.5</v>
      </c>
      <c r="I62" s="3">
        <f t="shared" si="11"/>
        <v>3.7560762797048619E-2</v>
      </c>
      <c r="J62" s="3">
        <f t="shared" si="15"/>
        <v>8.1258238633250574E-2</v>
      </c>
    </row>
    <row r="63" spans="1:10" x14ac:dyDescent="0.3">
      <c r="A63" s="7">
        <v>42401</v>
      </c>
      <c r="B63" s="5">
        <v>680116237.5</v>
      </c>
      <c r="C63" s="1">
        <f t="shared" si="8"/>
        <v>756759110.26666677</v>
      </c>
      <c r="D63" s="1">
        <f t="shared" si="12"/>
        <v>781917919.86666667</v>
      </c>
      <c r="E63" s="1">
        <f t="shared" si="9"/>
        <v>76642872.76666677</v>
      </c>
      <c r="F63" s="1">
        <f t="shared" si="13"/>
        <v>101801682.36666667</v>
      </c>
      <c r="G63" s="2">
        <f t="shared" si="10"/>
        <v>5874129945927471</v>
      </c>
      <c r="H63" s="2">
        <f t="shared" si="14"/>
        <v>1.0363582532683692E+16</v>
      </c>
      <c r="I63" s="3">
        <f t="shared" si="11"/>
        <v>0.11269084391867172</v>
      </c>
      <c r="J63" s="3">
        <f t="shared" si="15"/>
        <v>0.14968277002306782</v>
      </c>
    </row>
    <row r="64" spans="1:10" x14ac:dyDescent="0.3">
      <c r="A64" s="7">
        <v>42430</v>
      </c>
      <c r="B64" s="5">
        <v>672472987.39999998</v>
      </c>
      <c r="C64" s="1">
        <f t="shared" si="8"/>
        <v>720163565.5</v>
      </c>
      <c r="D64" s="1">
        <f t="shared" si="12"/>
        <v>752478518.16666663</v>
      </c>
      <c r="E64" s="1">
        <f t="shared" si="9"/>
        <v>47690578.100000024</v>
      </c>
      <c r="F64" s="1">
        <f t="shared" si="13"/>
        <v>80005530.766666651</v>
      </c>
      <c r="G64" s="2">
        <f t="shared" si="10"/>
        <v>2274391239512202</v>
      </c>
      <c r="H64" s="2">
        <f t="shared" si="14"/>
        <v>6400884953256044</v>
      </c>
      <c r="I64" s="3">
        <f t="shared" si="11"/>
        <v>7.0918206371957573E-2</v>
      </c>
      <c r="J64" s="3">
        <f t="shared" si="15"/>
        <v>0.11897211079956407</v>
      </c>
    </row>
    <row r="65" spans="1:10" x14ac:dyDescent="0.3">
      <c r="A65" s="7">
        <v>42461</v>
      </c>
      <c r="B65" s="5">
        <v>679662896</v>
      </c>
      <c r="C65" s="1">
        <f t="shared" si="8"/>
        <v>697020131.19999993</v>
      </c>
      <c r="D65" s="1">
        <f t="shared" si="12"/>
        <v>731614420.14999998</v>
      </c>
      <c r="E65" s="1">
        <f t="shared" si="9"/>
        <v>17357235.199999928</v>
      </c>
      <c r="F65" s="1">
        <f t="shared" si="13"/>
        <v>51951524.149999976</v>
      </c>
      <c r="G65" s="2">
        <f t="shared" si="10"/>
        <v>301273613788116.56</v>
      </c>
      <c r="H65" s="2">
        <f t="shared" si="14"/>
        <v>2698960861508030.5</v>
      </c>
      <c r="I65" s="3">
        <f t="shared" si="11"/>
        <v>2.5538006123553239E-2</v>
      </c>
      <c r="J65" s="3">
        <f t="shared" si="15"/>
        <v>7.6437193284713267E-2</v>
      </c>
    </row>
    <row r="66" spans="1:10" x14ac:dyDescent="0.3">
      <c r="A66" s="7">
        <v>42491</v>
      </c>
      <c r="B66" s="5">
        <v>784832284.39999998</v>
      </c>
      <c r="C66" s="1">
        <f t="shared" si="8"/>
        <v>677417373.63333333</v>
      </c>
      <c r="D66" s="1">
        <f t="shared" si="12"/>
        <v>717088241.95000017</v>
      </c>
      <c r="E66" s="1">
        <f t="shared" si="9"/>
        <v>107414910.76666665</v>
      </c>
      <c r="F66" s="1">
        <f t="shared" si="13"/>
        <v>67744042.449999809</v>
      </c>
      <c r="G66" s="2">
        <f t="shared" si="10"/>
        <v>1.153796305501096E+16</v>
      </c>
      <c r="H66" s="2">
        <f t="shared" si="14"/>
        <v>4589255287467376</v>
      </c>
      <c r="I66" s="3">
        <f t="shared" si="11"/>
        <v>0.13686352218395906</v>
      </c>
      <c r="J66" s="3">
        <f t="shared" si="15"/>
        <v>8.6316584825240419E-2</v>
      </c>
    </row>
    <row r="67" spans="1:10" x14ac:dyDescent="0.3">
      <c r="A67" s="7">
        <v>42522</v>
      </c>
      <c r="B67" s="5">
        <v>750613765.39999998</v>
      </c>
      <c r="C67" s="1">
        <f t="shared" si="8"/>
        <v>712322722.60000002</v>
      </c>
      <c r="D67" s="1">
        <f t="shared" si="12"/>
        <v>716243144.05000007</v>
      </c>
      <c r="E67" s="1">
        <f t="shared" si="9"/>
        <v>38291042.799999952</v>
      </c>
      <c r="F67" s="1">
        <f t="shared" si="13"/>
        <v>34370621.349999905</v>
      </c>
      <c r="G67" s="2">
        <f t="shared" si="10"/>
        <v>1466203958711428.3</v>
      </c>
      <c r="H67" s="2">
        <f t="shared" si="14"/>
        <v>1181339611985069.3</v>
      </c>
      <c r="I67" s="3">
        <f t="shared" si="11"/>
        <v>5.1012977066300889E-2</v>
      </c>
      <c r="J67" s="3">
        <f t="shared" si="15"/>
        <v>4.5790022691209104E-2</v>
      </c>
    </row>
    <row r="68" spans="1:10" x14ac:dyDescent="0.3">
      <c r="A68" s="7">
        <v>42552</v>
      </c>
      <c r="B68" s="5">
        <v>769075582.10000002</v>
      </c>
      <c r="C68" s="1">
        <f t="shared" si="8"/>
        <v>738369648.60000002</v>
      </c>
      <c r="D68" s="1">
        <f t="shared" si="12"/>
        <v>717694889.89999998</v>
      </c>
      <c r="E68" s="1">
        <f t="shared" si="9"/>
        <v>30705933.5</v>
      </c>
      <c r="F68" s="1">
        <f t="shared" si="13"/>
        <v>51380692.200000048</v>
      </c>
      <c r="G68" s="2">
        <f t="shared" si="10"/>
        <v>942854352106422.25</v>
      </c>
      <c r="H68" s="2">
        <f t="shared" si="14"/>
        <v>2639975530951145.5</v>
      </c>
      <c r="I68" s="3">
        <f t="shared" si="11"/>
        <v>3.992576830505512E-2</v>
      </c>
      <c r="J68" s="3">
        <f t="shared" si="15"/>
        <v>6.6808378000641308E-2</v>
      </c>
    </row>
    <row r="69" spans="1:10" x14ac:dyDescent="0.3">
      <c r="A69" s="7">
        <v>42583</v>
      </c>
      <c r="B69" s="5">
        <v>789686892.39999998</v>
      </c>
      <c r="C69" s="1">
        <f t="shared" ref="C69:C100" si="16">AVERAGEA(B66:B68)</f>
        <v>768173877.30000007</v>
      </c>
      <c r="D69" s="1">
        <f t="shared" si="12"/>
        <v>722795625.4666667</v>
      </c>
      <c r="E69" s="1">
        <f t="shared" ref="E69:E100" si="17">ABS(B69-C69)</f>
        <v>21513015.099999905</v>
      </c>
      <c r="F69" s="1">
        <f t="shared" si="13"/>
        <v>66891266.933333278</v>
      </c>
      <c r="G69" s="2">
        <f t="shared" ref="G69:G100" si="18">(B69-C69)^2</f>
        <v>462809818692823.94</v>
      </c>
      <c r="H69" s="2">
        <f t="shared" si="14"/>
        <v>4474441591946446</v>
      </c>
      <c r="I69" s="3">
        <f t="shared" ref="I69:I100" si="19">E69/B69</f>
        <v>2.7242461926419971E-2</v>
      </c>
      <c r="J69" s="3">
        <f t="shared" si="15"/>
        <v>8.4706062082452363E-2</v>
      </c>
    </row>
    <row r="70" spans="1:10" x14ac:dyDescent="0.3">
      <c r="A70" s="7">
        <v>42614</v>
      </c>
      <c r="B70" s="5">
        <v>805169805.89999998</v>
      </c>
      <c r="C70" s="1">
        <f t="shared" si="16"/>
        <v>769792079.9666667</v>
      </c>
      <c r="D70" s="1">
        <f t="shared" si="12"/>
        <v>741057401.2833333</v>
      </c>
      <c r="E70" s="1">
        <f t="shared" si="17"/>
        <v>35377725.933333278</v>
      </c>
      <c r="F70" s="1">
        <f t="shared" si="13"/>
        <v>64112404.616666675</v>
      </c>
      <c r="G70" s="2">
        <f t="shared" si="18"/>
        <v>1251583492214042</v>
      </c>
      <c r="H70" s="2">
        <f t="shared" si="14"/>
        <v>4110400425731182.5</v>
      </c>
      <c r="I70" s="3">
        <f t="shared" si="19"/>
        <v>4.3938217347567927E-2</v>
      </c>
      <c r="J70" s="3">
        <f t="shared" si="15"/>
        <v>7.9625942437078018E-2</v>
      </c>
    </row>
    <row r="71" spans="1:10" x14ac:dyDescent="0.3">
      <c r="A71" s="7">
        <v>42644</v>
      </c>
      <c r="B71" s="5">
        <v>789304203.20000005</v>
      </c>
      <c r="C71" s="1">
        <f t="shared" si="16"/>
        <v>787977426.80000007</v>
      </c>
      <c r="D71" s="1">
        <f t="shared" si="12"/>
        <v>763173537.69999993</v>
      </c>
      <c r="E71" s="1">
        <f t="shared" si="17"/>
        <v>1326776.3999999762</v>
      </c>
      <c r="F71" s="1">
        <f t="shared" si="13"/>
        <v>26130665.500000119</v>
      </c>
      <c r="G71" s="2">
        <f t="shared" si="18"/>
        <v>1760335615596.8967</v>
      </c>
      <c r="H71" s="2">
        <f t="shared" si="14"/>
        <v>682811679472896.5</v>
      </c>
      <c r="I71" s="3">
        <f t="shared" si="19"/>
        <v>1.6809442983085031E-3</v>
      </c>
      <c r="J71" s="3">
        <f t="shared" si="15"/>
        <v>3.3105950017827193E-2</v>
      </c>
    </row>
    <row r="72" spans="1:10" x14ac:dyDescent="0.3">
      <c r="A72" s="7">
        <v>42675</v>
      </c>
      <c r="B72" s="5">
        <v>879431387.39999998</v>
      </c>
      <c r="C72" s="1">
        <f t="shared" si="16"/>
        <v>794720300.5</v>
      </c>
      <c r="D72" s="1">
        <f t="shared" ref="D72:D103" si="20">AVERAGE(B66:B71)</f>
        <v>781447088.9000001</v>
      </c>
      <c r="E72" s="1">
        <f t="shared" si="17"/>
        <v>84711086.899999976</v>
      </c>
      <c r="F72" s="1">
        <f t="shared" ref="F72:F103" si="21">ABS(B72-D72)</f>
        <v>97984298.499999881</v>
      </c>
      <c r="G72" s="2">
        <f t="shared" si="18"/>
        <v>7175968243779348</v>
      </c>
      <c r="H72" s="2">
        <f t="shared" ref="H72:H103" si="22">(B72-D72)^2</f>
        <v>9600922752537078</v>
      </c>
      <c r="I72" s="3">
        <f t="shared" si="19"/>
        <v>9.6324839110467228E-2</v>
      </c>
      <c r="J72" s="3">
        <f t="shared" ref="J72:J103" si="23">F72/B72</f>
        <v>0.11141778642866743</v>
      </c>
    </row>
    <row r="73" spans="1:10" x14ac:dyDescent="0.3">
      <c r="A73" s="7">
        <v>42705</v>
      </c>
      <c r="B73" s="5">
        <v>868808509.29999995</v>
      </c>
      <c r="C73" s="1">
        <f t="shared" si="16"/>
        <v>824635132.16666663</v>
      </c>
      <c r="D73" s="1">
        <f t="shared" si="20"/>
        <v>797213606.0666666</v>
      </c>
      <c r="E73" s="1">
        <f t="shared" si="17"/>
        <v>44173377.133333325</v>
      </c>
      <c r="F73" s="1">
        <f t="shared" si="21"/>
        <v>71594903.233333349</v>
      </c>
      <c r="G73" s="2">
        <f t="shared" si="18"/>
        <v>1951287247363695.5</v>
      </c>
      <c r="H73" s="2">
        <f t="shared" si="22"/>
        <v>5125830168990366</v>
      </c>
      <c r="I73" s="3">
        <f t="shared" si="19"/>
        <v>5.0843628556221057E-2</v>
      </c>
      <c r="J73" s="3">
        <f t="shared" si="23"/>
        <v>8.2405849467355519E-2</v>
      </c>
    </row>
    <row r="74" spans="1:10" x14ac:dyDescent="0.3">
      <c r="A74" s="7">
        <v>42736</v>
      </c>
      <c r="B74" s="5">
        <v>921410623.10000002</v>
      </c>
      <c r="C74" s="1">
        <f t="shared" si="16"/>
        <v>845848033.29999983</v>
      </c>
      <c r="D74" s="1">
        <f t="shared" si="20"/>
        <v>816912730.05000007</v>
      </c>
      <c r="E74" s="1">
        <f t="shared" si="17"/>
        <v>75562589.800000191</v>
      </c>
      <c r="F74" s="1">
        <f t="shared" si="21"/>
        <v>104497893.04999995</v>
      </c>
      <c r="G74" s="2">
        <f t="shared" si="18"/>
        <v>5709704977283093</v>
      </c>
      <c r="H74" s="2">
        <f t="shared" si="22"/>
        <v>1.0919809651889228E+16</v>
      </c>
      <c r="I74" s="3">
        <f t="shared" si="19"/>
        <v>8.2007508819224278E-2</v>
      </c>
      <c r="J74" s="3">
        <f t="shared" si="23"/>
        <v>0.11341077520728657</v>
      </c>
    </row>
    <row r="75" spans="1:10" x14ac:dyDescent="0.3">
      <c r="A75" s="7">
        <v>42767</v>
      </c>
      <c r="B75" s="5">
        <v>767363227.39999998</v>
      </c>
      <c r="C75" s="1">
        <f t="shared" si="16"/>
        <v>889883506.5999999</v>
      </c>
      <c r="D75" s="1">
        <f t="shared" si="20"/>
        <v>842301903.55000007</v>
      </c>
      <c r="E75" s="1">
        <f t="shared" si="17"/>
        <v>122520279.19999993</v>
      </c>
      <c r="F75" s="1">
        <f t="shared" si="21"/>
        <v>74938676.150000095</v>
      </c>
      <c r="G75" s="2">
        <f t="shared" si="18"/>
        <v>1.5011218815245936E+16</v>
      </c>
      <c r="H75" s="2">
        <f t="shared" si="22"/>
        <v>5615805183114593</v>
      </c>
      <c r="I75" s="3">
        <f t="shared" si="19"/>
        <v>0.15966399590859509</v>
      </c>
      <c r="J75" s="3">
        <f t="shared" si="23"/>
        <v>9.7657371990457847E-2</v>
      </c>
    </row>
    <row r="76" spans="1:10" x14ac:dyDescent="0.3">
      <c r="A76" s="7">
        <v>42795</v>
      </c>
      <c r="B76" s="5">
        <v>838521821.39999998</v>
      </c>
      <c r="C76" s="1">
        <f t="shared" si="16"/>
        <v>852527453.26666677</v>
      </c>
      <c r="D76" s="1">
        <f t="shared" si="20"/>
        <v>838581292.7166667</v>
      </c>
      <c r="E76" s="1">
        <f t="shared" si="17"/>
        <v>14005631.866666794</v>
      </c>
      <c r="F76" s="1">
        <f t="shared" si="21"/>
        <v>59471.316666722298</v>
      </c>
      <c r="G76" s="2">
        <f t="shared" si="18"/>
        <v>196157723984592.38</v>
      </c>
      <c r="H76" s="2">
        <f t="shared" si="22"/>
        <v>3536837506.0735612</v>
      </c>
      <c r="I76" s="3">
        <f t="shared" si="19"/>
        <v>1.6702763731637805E-2</v>
      </c>
      <c r="J76" s="3">
        <f t="shared" si="23"/>
        <v>7.0923994043981716E-5</v>
      </c>
    </row>
    <row r="77" spans="1:10" x14ac:dyDescent="0.3">
      <c r="A77" s="7">
        <v>42826</v>
      </c>
      <c r="B77" s="5">
        <v>846177887.5</v>
      </c>
      <c r="C77" s="1">
        <f t="shared" si="16"/>
        <v>842431890.63333333</v>
      </c>
      <c r="D77" s="1">
        <f t="shared" si="20"/>
        <v>844139961.96666658</v>
      </c>
      <c r="E77" s="1">
        <f t="shared" si="17"/>
        <v>3745996.8666666746</v>
      </c>
      <c r="F77" s="1">
        <f t="shared" si="21"/>
        <v>2037925.5333334208</v>
      </c>
      <c r="G77" s="2">
        <f t="shared" si="18"/>
        <v>14032492525076.545</v>
      </c>
      <c r="H77" s="2">
        <f t="shared" si="22"/>
        <v>4153140479412.3076</v>
      </c>
      <c r="I77" s="3">
        <f t="shared" si="19"/>
        <v>4.4269614250191268E-3</v>
      </c>
      <c r="J77" s="3">
        <f t="shared" si="23"/>
        <v>2.4083890201319173E-3</v>
      </c>
    </row>
    <row r="78" spans="1:10" x14ac:dyDescent="0.3">
      <c r="A78" s="7">
        <v>42856</v>
      </c>
      <c r="B78" s="5">
        <v>1010183347</v>
      </c>
      <c r="C78" s="1">
        <f t="shared" si="16"/>
        <v>817354312.10000002</v>
      </c>
      <c r="D78" s="1">
        <f t="shared" si="20"/>
        <v>853618909.35000002</v>
      </c>
      <c r="E78" s="1">
        <f t="shared" si="17"/>
        <v>192829034.89999998</v>
      </c>
      <c r="F78" s="1">
        <f t="shared" si="21"/>
        <v>156564437.64999998</v>
      </c>
      <c r="G78" s="2">
        <f t="shared" si="18"/>
        <v>3.7183036700465408E+16</v>
      </c>
      <c r="H78" s="2">
        <f t="shared" si="22"/>
        <v>2.4512423136660732E+16</v>
      </c>
      <c r="I78" s="3">
        <f t="shared" si="19"/>
        <v>0.19088518482576011</v>
      </c>
      <c r="J78" s="3">
        <f t="shared" si="23"/>
        <v>0.15498615980451316</v>
      </c>
    </row>
    <row r="79" spans="1:10" x14ac:dyDescent="0.3">
      <c r="A79" s="7">
        <v>42887</v>
      </c>
      <c r="B79" s="5">
        <v>969224748.10000002</v>
      </c>
      <c r="C79" s="1">
        <f t="shared" si="16"/>
        <v>898294351.9666667</v>
      </c>
      <c r="D79" s="1">
        <f t="shared" si="20"/>
        <v>875410902.61666679</v>
      </c>
      <c r="E79" s="1">
        <f t="shared" si="17"/>
        <v>70930396.133333325</v>
      </c>
      <c r="F79" s="1">
        <f t="shared" si="21"/>
        <v>93813845.48333323</v>
      </c>
      <c r="G79" s="2">
        <f t="shared" si="18"/>
        <v>5031121095631587</v>
      </c>
      <c r="H79" s="2">
        <f t="shared" si="22"/>
        <v>8801037604370723</v>
      </c>
      <c r="I79" s="3">
        <f t="shared" si="19"/>
        <v>7.3182609371438653E-2</v>
      </c>
      <c r="J79" s="3">
        <f t="shared" si="23"/>
        <v>9.6792664103180701E-2</v>
      </c>
    </row>
    <row r="80" spans="1:10" x14ac:dyDescent="0.3">
      <c r="A80" s="7">
        <v>42917</v>
      </c>
      <c r="B80" s="5">
        <v>1041600591</v>
      </c>
      <c r="C80" s="1">
        <f t="shared" si="16"/>
        <v>941861994.19999993</v>
      </c>
      <c r="D80" s="1">
        <f t="shared" si="20"/>
        <v>892146942.41666663</v>
      </c>
      <c r="E80" s="1">
        <f t="shared" si="17"/>
        <v>99738596.800000072</v>
      </c>
      <c r="F80" s="1">
        <f t="shared" si="21"/>
        <v>149453648.58333337</v>
      </c>
      <c r="G80" s="2">
        <f t="shared" si="18"/>
        <v>9947787691632984</v>
      </c>
      <c r="H80" s="2">
        <f t="shared" si="22"/>
        <v>2.2336393074870504E+16</v>
      </c>
      <c r="I80" s="3">
        <f t="shared" si="19"/>
        <v>9.575512692849468E-2</v>
      </c>
      <c r="J80" s="3">
        <f t="shared" si="23"/>
        <v>0.14348460424724679</v>
      </c>
    </row>
    <row r="81" spans="1:10" x14ac:dyDescent="0.3">
      <c r="A81" s="7">
        <v>42948</v>
      </c>
      <c r="B81" s="5">
        <v>1047272941</v>
      </c>
      <c r="C81" s="1">
        <f t="shared" si="16"/>
        <v>1007002895.3666667</v>
      </c>
      <c r="D81" s="1">
        <f t="shared" si="20"/>
        <v>912178603.73333347</v>
      </c>
      <c r="E81" s="1">
        <f t="shared" si="17"/>
        <v>40270045.633333325</v>
      </c>
      <c r="F81" s="1">
        <f t="shared" si="21"/>
        <v>135094337.26666653</v>
      </c>
      <c r="G81" s="2">
        <f t="shared" si="18"/>
        <v>1621676575310748.5</v>
      </c>
      <c r="H81" s="2">
        <f t="shared" si="22"/>
        <v>1.8250479961519844E+16</v>
      </c>
      <c r="I81" s="3">
        <f t="shared" si="19"/>
        <v>3.8452292670601261E-2</v>
      </c>
      <c r="J81" s="3">
        <f t="shared" si="23"/>
        <v>0.12899630266172085</v>
      </c>
    </row>
    <row r="82" spans="1:10" x14ac:dyDescent="0.3">
      <c r="A82" s="7">
        <v>42979</v>
      </c>
      <c r="B82" s="5">
        <v>986033698.20000005</v>
      </c>
      <c r="C82" s="1">
        <f t="shared" si="16"/>
        <v>1019366093.3666667</v>
      </c>
      <c r="D82" s="1">
        <f t="shared" si="20"/>
        <v>958830222.66666663</v>
      </c>
      <c r="E82" s="1">
        <f t="shared" si="17"/>
        <v>33332395.166666627</v>
      </c>
      <c r="F82" s="1">
        <f t="shared" si="21"/>
        <v>27203475.533333421</v>
      </c>
      <c r="G82" s="2">
        <f t="shared" si="18"/>
        <v>1111048567546820.8</v>
      </c>
      <c r="H82" s="2">
        <f t="shared" si="22"/>
        <v>740029081092670</v>
      </c>
      <c r="I82" s="3">
        <f t="shared" si="19"/>
        <v>3.3804519285207758E-2</v>
      </c>
      <c r="J82" s="3">
        <f t="shared" si="23"/>
        <v>2.7588788885200617E-2</v>
      </c>
    </row>
    <row r="83" spans="1:10" x14ac:dyDescent="0.3">
      <c r="A83" s="7">
        <v>43009</v>
      </c>
      <c r="B83" s="5">
        <v>936327803.29999995</v>
      </c>
      <c r="C83" s="1">
        <f t="shared" si="16"/>
        <v>1024969076.7333332</v>
      </c>
      <c r="D83" s="1">
        <f t="shared" si="20"/>
        <v>983415535.4666667</v>
      </c>
      <c r="E83" s="1">
        <f t="shared" si="17"/>
        <v>88641273.433333278</v>
      </c>
      <c r="F83" s="1">
        <f t="shared" si="21"/>
        <v>47087732.166666746</v>
      </c>
      <c r="G83" s="2">
        <f t="shared" si="18"/>
        <v>7857275355882956</v>
      </c>
      <c r="H83" s="2">
        <f t="shared" si="22"/>
        <v>2217254520599742.3</v>
      </c>
      <c r="I83" s="3">
        <f t="shared" si="19"/>
        <v>9.4669060473186184E-2</v>
      </c>
      <c r="J83" s="3">
        <f t="shared" si="23"/>
        <v>5.0289793810148996E-2</v>
      </c>
    </row>
    <row r="84" spans="1:10" x14ac:dyDescent="0.3">
      <c r="A84" s="7">
        <v>43040</v>
      </c>
      <c r="B84" s="5">
        <v>933792029.20000005</v>
      </c>
      <c r="C84" s="1">
        <f t="shared" si="16"/>
        <v>989878147.5</v>
      </c>
      <c r="D84" s="1">
        <f t="shared" si="20"/>
        <v>998440521.4333334</v>
      </c>
      <c r="E84" s="1">
        <f t="shared" si="17"/>
        <v>56086118.299999952</v>
      </c>
      <c r="F84" s="1">
        <f t="shared" si="21"/>
        <v>64648492.233333349</v>
      </c>
      <c r="G84" s="2">
        <f t="shared" si="18"/>
        <v>3145652665961589.5</v>
      </c>
      <c r="H84" s="2">
        <f t="shared" si="22"/>
        <v>4179427548043362.5</v>
      </c>
      <c r="I84" s="3">
        <f t="shared" si="19"/>
        <v>6.0062751176030223E-2</v>
      </c>
      <c r="J84" s="3">
        <f t="shared" si="23"/>
        <v>6.9232216823181841E-2</v>
      </c>
    </row>
    <row r="85" spans="1:10" x14ac:dyDescent="0.3">
      <c r="A85" s="7">
        <v>43070</v>
      </c>
      <c r="B85" s="5">
        <v>950975052.5</v>
      </c>
      <c r="C85" s="1">
        <f t="shared" si="16"/>
        <v>952051176.89999998</v>
      </c>
      <c r="D85" s="1">
        <f t="shared" si="20"/>
        <v>985708635.13333333</v>
      </c>
      <c r="E85" s="1">
        <f t="shared" si="17"/>
        <v>1076124.3999999762</v>
      </c>
      <c r="F85" s="1">
        <f t="shared" si="21"/>
        <v>34733582.633333325</v>
      </c>
      <c r="G85" s="2">
        <f t="shared" si="18"/>
        <v>1158043724275.3086</v>
      </c>
      <c r="H85" s="2">
        <f t="shared" si="22"/>
        <v>1206421762546594.5</v>
      </c>
      <c r="I85" s="3">
        <f t="shared" si="19"/>
        <v>1.1316010837203073E-3</v>
      </c>
      <c r="J85" s="3">
        <f t="shared" si="23"/>
        <v>3.6524178570218932E-2</v>
      </c>
    </row>
    <row r="86" spans="1:10" x14ac:dyDescent="0.3">
      <c r="A86" s="7">
        <v>43101</v>
      </c>
      <c r="B86" s="5">
        <v>989032370.89999998</v>
      </c>
      <c r="C86" s="1">
        <f t="shared" si="16"/>
        <v>940364961.66666663</v>
      </c>
      <c r="D86" s="1">
        <f t="shared" si="20"/>
        <v>982667019.19999993</v>
      </c>
      <c r="E86" s="1">
        <f t="shared" si="17"/>
        <v>48667409.233333349</v>
      </c>
      <c r="F86" s="1">
        <f t="shared" si="21"/>
        <v>6365351.7000000477</v>
      </c>
      <c r="G86" s="2">
        <f t="shared" si="18"/>
        <v>2368516721484740</v>
      </c>
      <c r="H86" s="2">
        <f t="shared" si="22"/>
        <v>40517702264693.5</v>
      </c>
      <c r="I86" s="3">
        <f t="shared" si="19"/>
        <v>4.9207094393732498E-2</v>
      </c>
      <c r="J86" s="3">
        <f t="shared" si="23"/>
        <v>6.4359386884452561E-3</v>
      </c>
    </row>
    <row r="87" spans="1:10" x14ac:dyDescent="0.3">
      <c r="A87" s="7">
        <v>43132</v>
      </c>
      <c r="B87" s="5">
        <v>937774259.60000002</v>
      </c>
      <c r="C87" s="1">
        <f t="shared" si="16"/>
        <v>957933150.86666667</v>
      </c>
      <c r="D87" s="1">
        <f t="shared" si="20"/>
        <v>973905649.18333328</v>
      </c>
      <c r="E87" s="1">
        <f t="shared" si="17"/>
        <v>20158891.266666651</v>
      </c>
      <c r="F87" s="1">
        <f t="shared" si="21"/>
        <v>36131389.583333254</v>
      </c>
      <c r="G87" s="2">
        <f t="shared" si="18"/>
        <v>406380897101288.94</v>
      </c>
      <c r="H87" s="2">
        <f t="shared" si="22"/>
        <v>1305477313222602.8</v>
      </c>
      <c r="I87" s="3">
        <f t="shared" si="19"/>
        <v>2.1496528679796845E-2</v>
      </c>
      <c r="J87" s="3">
        <f t="shared" si="23"/>
        <v>3.8528877513384518E-2</v>
      </c>
    </row>
    <row r="88" spans="1:10" x14ac:dyDescent="0.3">
      <c r="A88" s="7">
        <v>43160</v>
      </c>
      <c r="B88" s="5">
        <v>894117880.60000002</v>
      </c>
      <c r="C88" s="1">
        <f t="shared" si="16"/>
        <v>959260561</v>
      </c>
      <c r="D88" s="1">
        <f t="shared" si="20"/>
        <v>955655868.94999993</v>
      </c>
      <c r="E88" s="1">
        <f t="shared" si="17"/>
        <v>65142680.399999976</v>
      </c>
      <c r="F88" s="1">
        <f t="shared" si="21"/>
        <v>61537988.349999905</v>
      </c>
      <c r="G88" s="2">
        <f t="shared" si="18"/>
        <v>4243568809696541</v>
      </c>
      <c r="H88" s="2">
        <f t="shared" si="22"/>
        <v>3786924010164724</v>
      </c>
      <c r="I88" s="3">
        <f t="shared" si="19"/>
        <v>7.2856926154173121E-2</v>
      </c>
      <c r="J88" s="3">
        <f t="shared" si="23"/>
        <v>6.8825363730232847E-2</v>
      </c>
    </row>
    <row r="89" spans="1:10" x14ac:dyDescent="0.3">
      <c r="A89" s="7">
        <v>43191</v>
      </c>
      <c r="B89" s="5">
        <v>931235048</v>
      </c>
      <c r="C89" s="1">
        <f t="shared" si="16"/>
        <v>940308170.36666667</v>
      </c>
      <c r="D89" s="1">
        <f t="shared" si="20"/>
        <v>940336566.01666677</v>
      </c>
      <c r="E89" s="1">
        <f t="shared" si="17"/>
        <v>9073122.3666666746</v>
      </c>
      <c r="F89" s="1">
        <f t="shared" si="21"/>
        <v>9101518.01666677</v>
      </c>
      <c r="G89" s="2">
        <f t="shared" si="18"/>
        <v>82321549480507.078</v>
      </c>
      <c r="H89" s="2">
        <f t="shared" si="22"/>
        <v>82837630207709.813</v>
      </c>
      <c r="I89" s="3">
        <f t="shared" si="19"/>
        <v>9.7431066261443738E-3</v>
      </c>
      <c r="J89" s="3">
        <f t="shared" si="23"/>
        <v>9.7735990888809087E-3</v>
      </c>
    </row>
    <row r="90" spans="1:10" x14ac:dyDescent="0.3">
      <c r="A90" s="7">
        <v>43221</v>
      </c>
      <c r="B90" s="5">
        <v>1005124306</v>
      </c>
      <c r="C90" s="1">
        <f t="shared" si="16"/>
        <v>921042396.0666666</v>
      </c>
      <c r="D90" s="1">
        <f t="shared" si="20"/>
        <v>939487773.4666667</v>
      </c>
      <c r="E90" s="1">
        <f t="shared" si="17"/>
        <v>84081909.933333397</v>
      </c>
      <c r="F90" s="1">
        <f t="shared" si="21"/>
        <v>65636532.533333302</v>
      </c>
      <c r="G90" s="2">
        <f t="shared" si="18"/>
        <v>7069767578037189</v>
      </c>
      <c r="H90" s="2">
        <f t="shared" si="22"/>
        <v>4308154402999321</v>
      </c>
      <c r="I90" s="3">
        <f t="shared" si="19"/>
        <v>8.3653245107509516E-2</v>
      </c>
      <c r="J90" s="3">
        <f t="shared" si="23"/>
        <v>6.5301905586723816E-2</v>
      </c>
    </row>
    <row r="91" spans="1:10" x14ac:dyDescent="0.3">
      <c r="A91" s="7">
        <v>43252</v>
      </c>
      <c r="B91" s="5">
        <v>1031430918</v>
      </c>
      <c r="C91" s="1">
        <f t="shared" si="16"/>
        <v>943492411.5333333</v>
      </c>
      <c r="D91" s="1">
        <f t="shared" si="20"/>
        <v>951376486.26666677</v>
      </c>
      <c r="E91" s="1">
        <f t="shared" si="17"/>
        <v>87938506.466666698</v>
      </c>
      <c r="F91" s="1">
        <f t="shared" si="21"/>
        <v>80054431.73333323</v>
      </c>
      <c r="G91" s="2">
        <f t="shared" si="18"/>
        <v>7733180919587981</v>
      </c>
      <c r="H91" s="2">
        <f t="shared" si="22"/>
        <v>6408712040146910</v>
      </c>
      <c r="I91" s="3">
        <f t="shared" si="19"/>
        <v>8.5258745818075909E-2</v>
      </c>
      <c r="J91" s="3">
        <f t="shared" si="23"/>
        <v>7.7614923439141295E-2</v>
      </c>
    </row>
    <row r="92" spans="1:10" x14ac:dyDescent="0.3">
      <c r="A92" s="7">
        <v>43282</v>
      </c>
      <c r="B92" s="5">
        <v>1089106723</v>
      </c>
      <c r="C92" s="1">
        <f t="shared" si="16"/>
        <v>989263424</v>
      </c>
      <c r="D92" s="1">
        <f t="shared" si="20"/>
        <v>964785797.1833334</v>
      </c>
      <c r="E92" s="1">
        <f t="shared" si="17"/>
        <v>99843299</v>
      </c>
      <c r="F92" s="1">
        <f t="shared" si="21"/>
        <v>124320925.8166666</v>
      </c>
      <c r="G92" s="2">
        <f t="shared" si="18"/>
        <v>9968684355203400</v>
      </c>
      <c r="H92" s="2">
        <f t="shared" si="22"/>
        <v>1.545569259591312E+16</v>
      </c>
      <c r="I92" s="3">
        <f t="shared" si="19"/>
        <v>9.1674485972298964E-2</v>
      </c>
      <c r="J92" s="3">
        <f t="shared" si="23"/>
        <v>0.11414944301713452</v>
      </c>
    </row>
    <row r="93" spans="1:10" x14ac:dyDescent="0.3">
      <c r="A93" s="7">
        <v>43313</v>
      </c>
      <c r="B93" s="5">
        <v>1098437144</v>
      </c>
      <c r="C93" s="1">
        <f t="shared" si="16"/>
        <v>1041887315.6666666</v>
      </c>
      <c r="D93" s="1">
        <f t="shared" si="20"/>
        <v>981464855.86666667</v>
      </c>
      <c r="E93" s="1">
        <f t="shared" si="17"/>
        <v>56549828.333333373</v>
      </c>
      <c r="F93" s="1">
        <f t="shared" si="21"/>
        <v>116972288.13333333</v>
      </c>
      <c r="G93" s="2">
        <f t="shared" si="18"/>
        <v>3197883084529474</v>
      </c>
      <c r="H93" s="2">
        <f t="shared" si="22"/>
        <v>1.3682516191147552E+16</v>
      </c>
      <c r="I93" s="3">
        <f t="shared" si="19"/>
        <v>5.1482079463741601E-2</v>
      </c>
      <c r="J93" s="3">
        <f t="shared" si="23"/>
        <v>0.10648974205968159</v>
      </c>
    </row>
    <row r="94" spans="1:10" x14ac:dyDescent="0.3">
      <c r="A94" s="7">
        <v>43344</v>
      </c>
      <c r="B94" s="5">
        <v>1097405885</v>
      </c>
      <c r="C94" s="1">
        <f t="shared" si="16"/>
        <v>1072991595</v>
      </c>
      <c r="D94" s="1">
        <f t="shared" si="20"/>
        <v>1008242003.2666668</v>
      </c>
      <c r="E94" s="1">
        <f t="shared" si="17"/>
        <v>24414290</v>
      </c>
      <c r="F94" s="1">
        <f t="shared" si="21"/>
        <v>89163881.73333323</v>
      </c>
      <c r="G94" s="2">
        <f t="shared" si="18"/>
        <v>596057556204100</v>
      </c>
      <c r="H94" s="2">
        <f t="shared" si="22"/>
        <v>7950197805755835</v>
      </c>
      <c r="I94" s="3">
        <f t="shared" si="19"/>
        <v>2.224727453507323E-2</v>
      </c>
      <c r="J94" s="3">
        <f t="shared" si="23"/>
        <v>8.1249684325625085E-2</v>
      </c>
    </row>
    <row r="95" spans="1:10" x14ac:dyDescent="0.3">
      <c r="A95" s="7">
        <v>43374</v>
      </c>
      <c r="B95" s="5">
        <v>1085378948</v>
      </c>
      <c r="C95" s="1">
        <f t="shared" si="16"/>
        <v>1094983250.6666667</v>
      </c>
      <c r="D95" s="1">
        <f t="shared" si="20"/>
        <v>1042123337.3333334</v>
      </c>
      <c r="E95" s="1">
        <f t="shared" si="17"/>
        <v>9604302.6666667461</v>
      </c>
      <c r="F95" s="1">
        <f t="shared" si="21"/>
        <v>43255610.666666627</v>
      </c>
      <c r="G95" s="2">
        <f t="shared" si="18"/>
        <v>92242629712941.969</v>
      </c>
      <c r="H95" s="2">
        <f t="shared" si="22"/>
        <v>1871047854146243.8</v>
      </c>
      <c r="I95" s="3">
        <f t="shared" si="19"/>
        <v>8.8488013189903392E-3</v>
      </c>
      <c r="J95" s="3">
        <f t="shared" si="23"/>
        <v>3.9853003180476861E-2</v>
      </c>
    </row>
    <row r="96" spans="1:10" x14ac:dyDescent="0.3">
      <c r="A96" s="7">
        <v>43405</v>
      </c>
      <c r="B96" s="5">
        <v>1151726966</v>
      </c>
      <c r="C96" s="1">
        <f t="shared" si="16"/>
        <v>1093740659</v>
      </c>
      <c r="D96" s="1">
        <f t="shared" si="20"/>
        <v>1067813987.3333334</v>
      </c>
      <c r="E96" s="1">
        <f t="shared" si="17"/>
        <v>57986307</v>
      </c>
      <c r="F96" s="1">
        <f t="shared" si="21"/>
        <v>83912978.666666627</v>
      </c>
      <c r="G96" s="2">
        <f t="shared" si="18"/>
        <v>3362411799498249</v>
      </c>
      <c r="H96" s="2">
        <f t="shared" si="22"/>
        <v>7041387988712448</v>
      </c>
      <c r="I96" s="3">
        <f t="shared" si="19"/>
        <v>5.0347268677218761E-2</v>
      </c>
      <c r="J96" s="3">
        <f t="shared" si="23"/>
        <v>7.2858395386972835E-2</v>
      </c>
    </row>
    <row r="97" spans="1:10" x14ac:dyDescent="0.3">
      <c r="A97" s="7">
        <v>43435</v>
      </c>
      <c r="B97" s="5">
        <v>1191693765</v>
      </c>
      <c r="C97" s="1">
        <f t="shared" si="16"/>
        <v>1111503933</v>
      </c>
      <c r="D97" s="1">
        <f t="shared" si="20"/>
        <v>1092247764</v>
      </c>
      <c r="E97" s="1">
        <f t="shared" si="17"/>
        <v>80189832</v>
      </c>
      <c r="F97" s="1">
        <f t="shared" si="21"/>
        <v>99446001</v>
      </c>
      <c r="G97" s="2">
        <f t="shared" si="18"/>
        <v>6430409156188224</v>
      </c>
      <c r="H97" s="2">
        <f t="shared" si="22"/>
        <v>9889507114892000</v>
      </c>
      <c r="I97" s="3">
        <f t="shared" si="19"/>
        <v>6.7290636533623216E-2</v>
      </c>
      <c r="J97" s="3">
        <f t="shared" si="23"/>
        <v>8.3449292025120234E-2</v>
      </c>
    </row>
    <row r="98" spans="1:10" x14ac:dyDescent="0.3">
      <c r="A98" s="7">
        <v>43466</v>
      </c>
      <c r="B98" s="5">
        <v>1160576030</v>
      </c>
      <c r="C98" s="1">
        <f t="shared" si="16"/>
        <v>1142933226.3333333</v>
      </c>
      <c r="D98" s="1">
        <f t="shared" si="20"/>
        <v>1118958238.5</v>
      </c>
      <c r="E98" s="1">
        <f t="shared" si="17"/>
        <v>17642803.666666746</v>
      </c>
      <c r="F98" s="1">
        <f t="shared" si="21"/>
        <v>41617791.5</v>
      </c>
      <c r="G98" s="2">
        <f t="shared" si="18"/>
        <v>311268521220549.56</v>
      </c>
      <c r="H98" s="2">
        <f t="shared" si="22"/>
        <v>1732040569337472.3</v>
      </c>
      <c r="I98" s="3">
        <f t="shared" si="19"/>
        <v>1.5201764650151137E-2</v>
      </c>
      <c r="J98" s="3">
        <f t="shared" si="23"/>
        <v>3.5859599392208709E-2</v>
      </c>
    </row>
    <row r="99" spans="1:10" x14ac:dyDescent="0.3">
      <c r="A99" s="7">
        <v>43497</v>
      </c>
      <c r="B99" s="5">
        <v>969629900.10000002</v>
      </c>
      <c r="C99" s="1">
        <f t="shared" si="16"/>
        <v>1167998920.3333333</v>
      </c>
      <c r="D99" s="1">
        <f t="shared" si="20"/>
        <v>1130869789.6666667</v>
      </c>
      <c r="E99" s="1">
        <f t="shared" si="17"/>
        <v>198369020.23333323</v>
      </c>
      <c r="F99" s="1">
        <f t="shared" si="21"/>
        <v>161239889.56666672</v>
      </c>
      <c r="G99" s="2">
        <f t="shared" si="18"/>
        <v>3.9350268188332568E+16</v>
      </c>
      <c r="H99" s="2">
        <f t="shared" si="22"/>
        <v>2.599830198747088E+16</v>
      </c>
      <c r="I99" s="3">
        <f t="shared" si="19"/>
        <v>0.20458220215040296</v>
      </c>
      <c r="J99" s="3">
        <f t="shared" si="23"/>
        <v>0.16629013765977896</v>
      </c>
    </row>
    <row r="100" spans="1:10" x14ac:dyDescent="0.3">
      <c r="A100" s="7">
        <v>43525</v>
      </c>
      <c r="B100" s="5">
        <v>1048651003</v>
      </c>
      <c r="C100" s="1">
        <f t="shared" si="16"/>
        <v>1107299898.3666666</v>
      </c>
      <c r="D100" s="1">
        <f t="shared" si="20"/>
        <v>1109401915.6833334</v>
      </c>
      <c r="E100" s="1">
        <f t="shared" si="17"/>
        <v>58648895.366666555</v>
      </c>
      <c r="F100" s="1">
        <f t="shared" si="21"/>
        <v>60750912.683333397</v>
      </c>
      <c r="G100" s="2">
        <f t="shared" si="18"/>
        <v>3439692927730202</v>
      </c>
      <c r="H100" s="2">
        <f t="shared" si="22"/>
        <v>3690673391857998.5</v>
      </c>
      <c r="I100" s="3">
        <f t="shared" si="19"/>
        <v>5.5927944758439867E-2</v>
      </c>
      <c r="J100" s="3">
        <f t="shared" si="23"/>
        <v>5.7932441307485594E-2</v>
      </c>
    </row>
    <row r="101" spans="1:10" x14ac:dyDescent="0.3">
      <c r="A101" s="7">
        <v>43556</v>
      </c>
      <c r="B101" s="5">
        <v>1072985548</v>
      </c>
      <c r="C101" s="1">
        <f t="shared" ref="C101:C132" si="24">AVERAGEA(B98:B100)</f>
        <v>1059618977.6999999</v>
      </c>
      <c r="D101" s="1">
        <f t="shared" si="20"/>
        <v>1101276102.0166667</v>
      </c>
      <c r="E101" s="1">
        <f t="shared" ref="E101:E132" si="25">ABS(B101-C101)</f>
        <v>13366570.300000072</v>
      </c>
      <c r="F101" s="1">
        <f t="shared" si="21"/>
        <v>28290554.016666651</v>
      </c>
      <c r="G101" s="2">
        <f t="shared" ref="G101:G132" si="26">(B101-C101)^2</f>
        <v>178665201584844</v>
      </c>
      <c r="H101" s="2">
        <f t="shared" si="22"/>
        <v>800355446569933.63</v>
      </c>
      <c r="I101" s="3">
        <f t="shared" ref="I101:I132" si="27">E101/B101</f>
        <v>1.2457362846046526E-2</v>
      </c>
      <c r="J101" s="3">
        <f t="shared" si="23"/>
        <v>2.6366202293590119E-2</v>
      </c>
    </row>
    <row r="102" spans="1:10" x14ac:dyDescent="0.3">
      <c r="A102" s="7">
        <v>43586</v>
      </c>
      <c r="B102" s="5">
        <v>1130996192</v>
      </c>
      <c r="C102" s="1">
        <f t="shared" si="24"/>
        <v>1030422150.3666667</v>
      </c>
      <c r="D102" s="1">
        <f t="shared" si="20"/>
        <v>1099210535.3500001</v>
      </c>
      <c r="E102" s="1">
        <f t="shared" si="25"/>
        <v>100574041.63333333</v>
      </c>
      <c r="F102" s="1">
        <f t="shared" si="21"/>
        <v>31785656.649999857</v>
      </c>
      <c r="G102" s="2">
        <f t="shared" si="26"/>
        <v>1.0115137850463466E+16</v>
      </c>
      <c r="H102" s="2">
        <f t="shared" si="22"/>
        <v>1010327968671680.1</v>
      </c>
      <c r="I102" s="3">
        <f t="shared" si="27"/>
        <v>8.8925181485786403E-2</v>
      </c>
      <c r="J102" s="3">
        <f t="shared" si="23"/>
        <v>2.8104123492928488E-2</v>
      </c>
    </row>
    <row r="103" spans="1:10" x14ac:dyDescent="0.3">
      <c r="A103" s="7">
        <v>43617</v>
      </c>
      <c r="B103" s="5">
        <v>1196575714</v>
      </c>
      <c r="C103" s="1">
        <f t="shared" si="24"/>
        <v>1084210914.3333333</v>
      </c>
      <c r="D103" s="1">
        <f t="shared" si="20"/>
        <v>1095755406.3500001</v>
      </c>
      <c r="E103" s="1">
        <f t="shared" si="25"/>
        <v>112364799.66666675</v>
      </c>
      <c r="F103" s="1">
        <f t="shared" si="21"/>
        <v>100820307.64999986</v>
      </c>
      <c r="G103" s="2">
        <f t="shared" si="26"/>
        <v>1.2625848204130152E+16</v>
      </c>
      <c r="H103" s="2">
        <f t="shared" si="22"/>
        <v>1.016473443464062E+16</v>
      </c>
      <c r="I103" s="3">
        <f t="shared" si="27"/>
        <v>9.3905298554861655E-2</v>
      </c>
      <c r="J103" s="3">
        <f t="shared" si="23"/>
        <v>8.425735744959291E-2</v>
      </c>
    </row>
    <row r="104" spans="1:10" x14ac:dyDescent="0.3">
      <c r="A104" s="7">
        <v>43647</v>
      </c>
      <c r="B104" s="5">
        <v>1162746019</v>
      </c>
      <c r="C104" s="1">
        <f t="shared" si="24"/>
        <v>1133519151.3333333</v>
      </c>
      <c r="D104" s="1">
        <f t="shared" ref="D104:D135" si="28">AVERAGE(B98:B103)</f>
        <v>1096569064.5166667</v>
      </c>
      <c r="E104" s="1">
        <f t="shared" si="25"/>
        <v>29226867.666666746</v>
      </c>
      <c r="F104" s="1">
        <f t="shared" ref="F104:F135" si="29">ABS(B104-D104)</f>
        <v>66176954.483333349</v>
      </c>
      <c r="G104" s="2">
        <f t="shared" si="26"/>
        <v>854209793604850.13</v>
      </c>
      <c r="H104" s="2">
        <f t="shared" ref="H104:H135" si="30">(B104-D104)^2</f>
        <v>4379389304689174</v>
      </c>
      <c r="I104" s="3">
        <f t="shared" si="27"/>
        <v>2.5136072013218172E-2</v>
      </c>
      <c r="J104" s="3">
        <f t="shared" ref="J104:J135" si="31">F104/B104</f>
        <v>5.691436771398084E-2</v>
      </c>
    </row>
    <row r="105" spans="1:10" x14ac:dyDescent="0.3">
      <c r="A105" s="7">
        <v>43678</v>
      </c>
      <c r="B105" s="5">
        <v>1112398911</v>
      </c>
      <c r="C105" s="1">
        <f t="shared" si="24"/>
        <v>1163439308.3333333</v>
      </c>
      <c r="D105" s="1">
        <f t="shared" si="28"/>
        <v>1096930729.3500001</v>
      </c>
      <c r="E105" s="1">
        <f t="shared" si="25"/>
        <v>51040397.333333254</v>
      </c>
      <c r="F105" s="1">
        <f t="shared" si="29"/>
        <v>15468181.649999857</v>
      </c>
      <c r="G105" s="2">
        <f t="shared" si="26"/>
        <v>2605122159944532.5</v>
      </c>
      <c r="H105" s="2">
        <f t="shared" si="30"/>
        <v>239264643557392.31</v>
      </c>
      <c r="I105" s="3">
        <f t="shared" si="27"/>
        <v>4.5883178083525877E-2</v>
      </c>
      <c r="J105" s="3">
        <f t="shared" si="31"/>
        <v>1.3905247026981184E-2</v>
      </c>
    </row>
    <row r="106" spans="1:10" x14ac:dyDescent="0.3">
      <c r="A106" s="7">
        <v>43709</v>
      </c>
      <c r="B106" s="5">
        <v>1121572378</v>
      </c>
      <c r="C106" s="1">
        <f t="shared" si="24"/>
        <v>1157240214.6666667</v>
      </c>
      <c r="D106" s="1">
        <f t="shared" si="28"/>
        <v>1120725564.5</v>
      </c>
      <c r="E106" s="1">
        <f t="shared" si="25"/>
        <v>35667836.666666746</v>
      </c>
      <c r="F106" s="1">
        <f t="shared" si="29"/>
        <v>846813.5</v>
      </c>
      <c r="G106" s="2">
        <f t="shared" si="26"/>
        <v>1272194572480016.8</v>
      </c>
      <c r="H106" s="2">
        <f t="shared" si="30"/>
        <v>717093103782.25</v>
      </c>
      <c r="I106" s="3">
        <f t="shared" si="27"/>
        <v>3.1801636137179144E-2</v>
      </c>
      <c r="J106" s="3">
        <f t="shared" si="31"/>
        <v>7.5502349791285609E-4</v>
      </c>
    </row>
    <row r="107" spans="1:10" x14ac:dyDescent="0.3">
      <c r="A107" s="7">
        <v>43739</v>
      </c>
      <c r="B107" s="5">
        <v>1097809801</v>
      </c>
      <c r="C107" s="1">
        <f t="shared" si="24"/>
        <v>1132239102.6666667</v>
      </c>
      <c r="D107" s="1">
        <f t="shared" si="28"/>
        <v>1132879127</v>
      </c>
      <c r="E107" s="1">
        <f t="shared" si="25"/>
        <v>34429301.666666746</v>
      </c>
      <c r="F107" s="1">
        <f t="shared" si="29"/>
        <v>35069326</v>
      </c>
      <c r="G107" s="2">
        <f t="shared" si="26"/>
        <v>1185376813254341.5</v>
      </c>
      <c r="H107" s="2">
        <f t="shared" si="30"/>
        <v>1229857626094276</v>
      </c>
      <c r="I107" s="3">
        <f t="shared" si="27"/>
        <v>3.136180933646697E-2</v>
      </c>
      <c r="J107" s="3">
        <f t="shared" si="31"/>
        <v>3.1944810447178729E-2</v>
      </c>
    </row>
    <row r="108" spans="1:10" x14ac:dyDescent="0.3">
      <c r="A108" s="7">
        <v>43770</v>
      </c>
      <c r="B108" s="5">
        <v>1120793497</v>
      </c>
      <c r="C108" s="1">
        <f t="shared" si="24"/>
        <v>1110593696.6666667</v>
      </c>
      <c r="D108" s="1">
        <f t="shared" si="28"/>
        <v>1137016502.5</v>
      </c>
      <c r="E108" s="1">
        <f t="shared" si="25"/>
        <v>10199800.333333254</v>
      </c>
      <c r="F108" s="1">
        <f t="shared" si="29"/>
        <v>16223005.5</v>
      </c>
      <c r="G108" s="2">
        <f t="shared" si="26"/>
        <v>104035926839865.16</v>
      </c>
      <c r="H108" s="2">
        <f t="shared" si="30"/>
        <v>263185907453030.25</v>
      </c>
      <c r="I108" s="3">
        <f t="shared" si="27"/>
        <v>9.1005170538862017E-3</v>
      </c>
      <c r="J108" s="3">
        <f t="shared" si="31"/>
        <v>1.4474571402692569E-2</v>
      </c>
    </row>
    <row r="109" spans="1:10" x14ac:dyDescent="0.3">
      <c r="A109" s="7">
        <v>43800</v>
      </c>
      <c r="B109" s="5">
        <v>1139698269</v>
      </c>
      <c r="C109" s="1">
        <f t="shared" si="24"/>
        <v>1113391892</v>
      </c>
      <c r="D109" s="1">
        <f t="shared" si="28"/>
        <v>1135316053.3333333</v>
      </c>
      <c r="E109" s="1">
        <f t="shared" si="25"/>
        <v>26306377</v>
      </c>
      <c r="F109" s="1">
        <f t="shared" si="29"/>
        <v>4382215.6666667461</v>
      </c>
      <c r="G109" s="2">
        <f t="shared" si="26"/>
        <v>692025470866129</v>
      </c>
      <c r="H109" s="2">
        <f t="shared" si="30"/>
        <v>19203814149179.473</v>
      </c>
      <c r="I109" s="3">
        <f t="shared" si="27"/>
        <v>2.3081878524815063E-2</v>
      </c>
      <c r="J109" s="3">
        <f t="shared" si="31"/>
        <v>3.8450665284521426E-3</v>
      </c>
    </row>
    <row r="110" spans="1:10" x14ac:dyDescent="0.3">
      <c r="A110" s="7">
        <v>43831</v>
      </c>
      <c r="B110" s="5">
        <v>1241487968</v>
      </c>
      <c r="C110" s="1">
        <f t="shared" si="24"/>
        <v>1119433855.6666667</v>
      </c>
      <c r="D110" s="1">
        <f t="shared" si="28"/>
        <v>1125836479.1666667</v>
      </c>
      <c r="E110" s="1">
        <f t="shared" si="25"/>
        <v>122054112.33333325</v>
      </c>
      <c r="F110" s="1">
        <f t="shared" si="29"/>
        <v>115651488.83333325</v>
      </c>
      <c r="G110" s="2">
        <f t="shared" si="26"/>
        <v>1.4897206337477932E+16</v>
      </c>
      <c r="H110" s="2">
        <f t="shared" si="30"/>
        <v>1.3375266869366606E+16</v>
      </c>
      <c r="I110" s="3">
        <f t="shared" si="27"/>
        <v>9.8312762974222603E-2</v>
      </c>
      <c r="J110" s="3">
        <f t="shared" si="31"/>
        <v>9.3155545453770569E-2</v>
      </c>
    </row>
    <row r="111" spans="1:10" x14ac:dyDescent="0.3">
      <c r="A111" s="7">
        <v>43862</v>
      </c>
      <c r="B111" s="5">
        <v>915152860.10000002</v>
      </c>
      <c r="C111" s="1">
        <f t="shared" si="24"/>
        <v>1167326578</v>
      </c>
      <c r="D111" s="1">
        <f t="shared" si="28"/>
        <v>1138960137.3333333</v>
      </c>
      <c r="E111" s="1">
        <f t="shared" si="25"/>
        <v>252173717.89999998</v>
      </c>
      <c r="F111" s="1">
        <f t="shared" si="29"/>
        <v>223807277.23333323</v>
      </c>
      <c r="G111" s="2">
        <f t="shared" si="26"/>
        <v>6.3591583999508768E+16</v>
      </c>
      <c r="H111" s="2">
        <f t="shared" si="30"/>
        <v>5.008969734259808E+16</v>
      </c>
      <c r="I111" s="3">
        <f t="shared" si="27"/>
        <v>0.27555365763971346</v>
      </c>
      <c r="J111" s="3">
        <f t="shared" si="31"/>
        <v>0.24455726140535419</v>
      </c>
    </row>
    <row r="112" spans="1:10" x14ac:dyDescent="0.3">
      <c r="A112" s="7">
        <v>43891</v>
      </c>
      <c r="B112" s="5">
        <v>1031178712</v>
      </c>
      <c r="C112" s="1">
        <f t="shared" si="24"/>
        <v>1098779699.0333333</v>
      </c>
      <c r="D112" s="1">
        <f t="shared" si="28"/>
        <v>1106085795.5166667</v>
      </c>
      <c r="E112" s="1">
        <f t="shared" si="25"/>
        <v>67600987.033333302</v>
      </c>
      <c r="F112" s="1">
        <f t="shared" si="29"/>
        <v>74907083.516666651</v>
      </c>
      <c r="G112" s="2">
        <f t="shared" si="26"/>
        <v>4569893447880897</v>
      </c>
      <c r="H112" s="2">
        <f t="shared" si="30"/>
        <v>5611071160972873</v>
      </c>
      <c r="I112" s="3">
        <f t="shared" si="27"/>
        <v>6.555700408343311E-2</v>
      </c>
      <c r="J112" s="3">
        <f t="shared" si="31"/>
        <v>7.2642193486890619E-2</v>
      </c>
    </row>
    <row r="113" spans="1:10" x14ac:dyDescent="0.3">
      <c r="A113" s="7">
        <v>43922</v>
      </c>
      <c r="B113" s="5">
        <v>1005077969</v>
      </c>
      <c r="C113" s="1">
        <f t="shared" si="24"/>
        <v>1062606513.3666667</v>
      </c>
      <c r="D113" s="1">
        <f t="shared" si="28"/>
        <v>1091020184.5166667</v>
      </c>
      <c r="E113" s="1">
        <f t="shared" si="25"/>
        <v>57528544.366666675</v>
      </c>
      <c r="F113" s="1">
        <f t="shared" si="29"/>
        <v>85942215.516666651</v>
      </c>
      <c r="G113" s="2">
        <f t="shared" si="26"/>
        <v>3309533416947536</v>
      </c>
      <c r="H113" s="2">
        <f t="shared" si="30"/>
        <v>7386064407913178</v>
      </c>
      <c r="I113" s="3">
        <f t="shared" si="27"/>
        <v>5.7237892124831435E-2</v>
      </c>
      <c r="J113" s="3">
        <f t="shared" si="31"/>
        <v>8.5508008500250643E-2</v>
      </c>
    </row>
    <row r="114" spans="1:10" x14ac:dyDescent="0.3">
      <c r="A114" s="7">
        <v>43952</v>
      </c>
      <c r="B114" s="5">
        <v>983481490.10000002</v>
      </c>
      <c r="C114" s="1">
        <f t="shared" si="24"/>
        <v>983803180.36666667</v>
      </c>
      <c r="D114" s="1">
        <f t="shared" si="28"/>
        <v>1075564879.1833334</v>
      </c>
      <c r="E114" s="1">
        <f t="shared" si="25"/>
        <v>321690.26666665077</v>
      </c>
      <c r="F114" s="1">
        <f t="shared" si="29"/>
        <v>92083389.083333373</v>
      </c>
      <c r="G114" s="2">
        <f t="shared" si="26"/>
        <v>103484627668.06088</v>
      </c>
      <c r="H114" s="2">
        <f t="shared" si="30"/>
        <v>8479350545072560</v>
      </c>
      <c r="I114" s="3">
        <f t="shared" si="27"/>
        <v>3.2709336159843883E-4</v>
      </c>
      <c r="J114" s="3">
        <f t="shared" si="31"/>
        <v>9.3630017453577463E-2</v>
      </c>
    </row>
    <row r="115" spans="1:10" x14ac:dyDescent="0.3">
      <c r="A115" s="7">
        <v>43983</v>
      </c>
      <c r="B115" s="5">
        <v>1083944239</v>
      </c>
      <c r="C115" s="1">
        <f t="shared" si="24"/>
        <v>1006579390.3666667</v>
      </c>
      <c r="D115" s="1">
        <f t="shared" si="28"/>
        <v>1052679544.7000002</v>
      </c>
      <c r="E115" s="1">
        <f t="shared" si="25"/>
        <v>77364848.633333325</v>
      </c>
      <c r="F115" s="1">
        <f t="shared" si="29"/>
        <v>31264694.299999833</v>
      </c>
      <c r="G115" s="2">
        <f t="shared" si="26"/>
        <v>5985319804058577</v>
      </c>
      <c r="H115" s="2">
        <f t="shared" si="30"/>
        <v>977481109672442</v>
      </c>
      <c r="I115" s="3">
        <f t="shared" si="27"/>
        <v>7.1373458015429631E-2</v>
      </c>
      <c r="J115" s="3">
        <f t="shared" si="31"/>
        <v>2.8843452619706052E-2</v>
      </c>
    </row>
    <row r="116" spans="1:10" x14ac:dyDescent="0.3">
      <c r="A116" s="7">
        <v>44013</v>
      </c>
      <c r="B116" s="5">
        <v>1197942563</v>
      </c>
      <c r="C116" s="1">
        <f t="shared" si="24"/>
        <v>1024167899.3666667</v>
      </c>
      <c r="D116" s="1">
        <f t="shared" si="28"/>
        <v>1043387206.3666667</v>
      </c>
      <c r="E116" s="1">
        <f t="shared" si="25"/>
        <v>173774663.63333333</v>
      </c>
      <c r="F116" s="1">
        <f t="shared" si="29"/>
        <v>154555356.63333333</v>
      </c>
      <c r="G116" s="2">
        <f t="shared" si="26"/>
        <v>3.019763372087814E+16</v>
      </c>
      <c r="H116" s="2">
        <f t="shared" si="30"/>
        <v>2.3887358264056852E+16</v>
      </c>
      <c r="I116" s="3">
        <f t="shared" si="27"/>
        <v>0.14506093113358501</v>
      </c>
      <c r="J116" s="3">
        <f t="shared" si="31"/>
        <v>0.12901733472620033</v>
      </c>
    </row>
    <row r="117" spans="1:10" x14ac:dyDescent="0.3">
      <c r="A117" s="7">
        <v>44044</v>
      </c>
      <c r="B117" s="5">
        <v>1302785576</v>
      </c>
      <c r="C117" s="1">
        <f t="shared" si="24"/>
        <v>1088456097.3666666</v>
      </c>
      <c r="D117" s="1">
        <f t="shared" si="28"/>
        <v>1036129638.8666667</v>
      </c>
      <c r="E117" s="1">
        <f t="shared" si="25"/>
        <v>214329478.63333344</v>
      </c>
      <c r="F117" s="1">
        <f t="shared" si="29"/>
        <v>266655937.13333333</v>
      </c>
      <c r="G117" s="2">
        <f t="shared" si="26"/>
        <v>4.5937125411236536E+16</v>
      </c>
      <c r="H117" s="2">
        <f t="shared" si="30"/>
        <v>7.1105388808456216E+16</v>
      </c>
      <c r="I117" s="3">
        <f t="shared" si="27"/>
        <v>0.16451631226329561</v>
      </c>
      <c r="J117" s="3">
        <f t="shared" si="31"/>
        <v>0.20468137047698887</v>
      </c>
    </row>
    <row r="118" spans="1:10" x14ac:dyDescent="0.3">
      <c r="A118" s="7">
        <v>44075</v>
      </c>
      <c r="B118" s="5">
        <v>1361596240</v>
      </c>
      <c r="C118" s="1">
        <f t="shared" si="24"/>
        <v>1194890792.6666667</v>
      </c>
      <c r="D118" s="1">
        <f t="shared" si="28"/>
        <v>1100735091.5166667</v>
      </c>
      <c r="E118" s="1">
        <f t="shared" si="25"/>
        <v>166705447.33333325</v>
      </c>
      <c r="F118" s="1">
        <f t="shared" si="29"/>
        <v>260861148.48333335</v>
      </c>
      <c r="G118" s="2">
        <f t="shared" si="26"/>
        <v>2.7790706170606748E+16</v>
      </c>
      <c r="H118" s="2">
        <f t="shared" si="30"/>
        <v>6.8048538788043688E+16</v>
      </c>
      <c r="I118" s="3">
        <f t="shared" si="27"/>
        <v>0.12243383349335134</v>
      </c>
      <c r="J118" s="3">
        <f t="shared" si="31"/>
        <v>0.19158480379127174</v>
      </c>
    </row>
    <row r="119" spans="1:10" x14ac:dyDescent="0.3">
      <c r="A119" s="7">
        <v>44105</v>
      </c>
      <c r="B119" s="5">
        <v>1478464989</v>
      </c>
      <c r="C119" s="1">
        <f t="shared" si="24"/>
        <v>1287441459.6666667</v>
      </c>
      <c r="D119" s="1">
        <f t="shared" si="28"/>
        <v>1155804679.5166667</v>
      </c>
      <c r="E119" s="1">
        <f t="shared" si="25"/>
        <v>191023529.33333325</v>
      </c>
      <c r="F119" s="1">
        <f t="shared" si="29"/>
        <v>322660309.48333335</v>
      </c>
      <c r="G119" s="2">
        <f t="shared" si="26"/>
        <v>3.6489988758962832E+16</v>
      </c>
      <c r="H119" s="2">
        <f t="shared" si="30"/>
        <v>1.0410967531588046E+17</v>
      </c>
      <c r="I119" s="3">
        <f t="shared" si="27"/>
        <v>0.12920395866968565</v>
      </c>
      <c r="J119" s="3">
        <f t="shared" si="31"/>
        <v>0.2182400745935644</v>
      </c>
    </row>
    <row r="120" spans="1:10" x14ac:dyDescent="0.3">
      <c r="A120" s="7">
        <v>44136</v>
      </c>
      <c r="B120" s="5">
        <v>1515601165</v>
      </c>
      <c r="C120" s="1">
        <f t="shared" si="24"/>
        <v>1380948935</v>
      </c>
      <c r="D120" s="1">
        <f t="shared" si="28"/>
        <v>1234702516.1833334</v>
      </c>
      <c r="E120" s="1">
        <f t="shared" si="25"/>
        <v>134652230</v>
      </c>
      <c r="F120" s="1">
        <f t="shared" si="29"/>
        <v>280898648.8166666</v>
      </c>
      <c r="G120" s="2">
        <f t="shared" si="26"/>
        <v>1.81312230439729E+16</v>
      </c>
      <c r="H120" s="2">
        <f t="shared" si="30"/>
        <v>7.8904050907028992E+16</v>
      </c>
      <c r="I120" s="3">
        <f t="shared" si="27"/>
        <v>8.8844105632499962E-2</v>
      </c>
      <c r="J120" s="3">
        <f t="shared" si="31"/>
        <v>0.18533810563326308</v>
      </c>
    </row>
    <row r="121" spans="1:10" x14ac:dyDescent="0.3">
      <c r="A121" s="7">
        <v>44166</v>
      </c>
      <c r="B121" s="5">
        <v>1859082729</v>
      </c>
      <c r="C121" s="1">
        <f t="shared" si="24"/>
        <v>1451887464.6666667</v>
      </c>
      <c r="D121" s="1">
        <f t="shared" si="28"/>
        <v>1323389128.6666667</v>
      </c>
      <c r="E121" s="1">
        <f t="shared" si="25"/>
        <v>407195264.33333325</v>
      </c>
      <c r="F121" s="1">
        <f t="shared" si="29"/>
        <v>535693600.33333325</v>
      </c>
      <c r="G121" s="2">
        <f t="shared" si="26"/>
        <v>1.6580798329549315E+17</v>
      </c>
      <c r="H121" s="2">
        <f t="shared" si="30"/>
        <v>2.8696763343808899E+17</v>
      </c>
      <c r="I121" s="3">
        <f t="shared" si="27"/>
        <v>0.21903020128230843</v>
      </c>
      <c r="J121" s="3">
        <f t="shared" si="31"/>
        <v>0.28814941475008088</v>
      </c>
    </row>
    <row r="122" spans="1:10" x14ac:dyDescent="0.3">
      <c r="A122" s="7">
        <v>44197</v>
      </c>
      <c r="B122" s="5">
        <v>2195700749</v>
      </c>
      <c r="C122" s="1">
        <f t="shared" si="24"/>
        <v>1617716294.3333333</v>
      </c>
      <c r="D122" s="1">
        <f t="shared" si="28"/>
        <v>1452578877</v>
      </c>
      <c r="E122" s="1">
        <f t="shared" si="25"/>
        <v>577984454.66666675</v>
      </c>
      <c r="F122" s="1">
        <f t="shared" si="29"/>
        <v>743121872</v>
      </c>
      <c r="G122" s="2">
        <f t="shared" si="26"/>
        <v>3.3406602983632416E+17</v>
      </c>
      <c r="H122" s="2">
        <f t="shared" si="30"/>
        <v>5.5223011664478438E+17</v>
      </c>
      <c r="I122" s="3">
        <f t="shared" si="27"/>
        <v>0.26323462107935308</v>
      </c>
      <c r="J122" s="3">
        <f t="shared" si="31"/>
        <v>0.33844405816158873</v>
      </c>
    </row>
    <row r="123" spans="1:10" x14ac:dyDescent="0.3">
      <c r="A123" s="7">
        <v>44228</v>
      </c>
      <c r="B123" s="5">
        <v>2212407266</v>
      </c>
      <c r="C123" s="1">
        <f t="shared" si="24"/>
        <v>1856794881</v>
      </c>
      <c r="D123" s="1">
        <f t="shared" si="28"/>
        <v>1618871908</v>
      </c>
      <c r="E123" s="1">
        <f t="shared" si="25"/>
        <v>355612385</v>
      </c>
      <c r="F123" s="1">
        <f t="shared" si="29"/>
        <v>593535358</v>
      </c>
      <c r="G123" s="2">
        <f t="shared" si="26"/>
        <v>1.2646016836538822E+17</v>
      </c>
      <c r="H123" s="2">
        <f t="shared" si="30"/>
        <v>3.5228422119618816E+17</v>
      </c>
      <c r="I123" s="3">
        <f t="shared" si="27"/>
        <v>0.1607354985969387</v>
      </c>
      <c r="J123" s="3">
        <f t="shared" si="31"/>
        <v>0.26827581301208764</v>
      </c>
    </row>
    <row r="124" spans="1:10" x14ac:dyDescent="0.3">
      <c r="A124" s="7">
        <v>44256</v>
      </c>
      <c r="B124" s="5">
        <v>2326526933</v>
      </c>
      <c r="C124" s="1">
        <f t="shared" si="24"/>
        <v>2089063581.3333333</v>
      </c>
      <c r="D124" s="1">
        <f t="shared" si="28"/>
        <v>1770475523</v>
      </c>
      <c r="E124" s="1">
        <f t="shared" si="25"/>
        <v>237463351.66666675</v>
      </c>
      <c r="F124" s="1">
        <f t="shared" si="29"/>
        <v>556051410</v>
      </c>
      <c r="G124" s="2">
        <f t="shared" si="26"/>
        <v>5.638884338476704E+16</v>
      </c>
      <c r="H124" s="2">
        <f t="shared" si="30"/>
        <v>3.091931705629881E+17</v>
      </c>
      <c r="I124" s="3">
        <f t="shared" si="27"/>
        <v>0.10206774239250414</v>
      </c>
      <c r="J124" s="3">
        <f t="shared" si="31"/>
        <v>0.23900493139057935</v>
      </c>
    </row>
    <row r="125" spans="1:10" x14ac:dyDescent="0.3">
      <c r="A125" s="7">
        <v>44287</v>
      </c>
      <c r="B125" s="5">
        <v>2278603143</v>
      </c>
      <c r="C125" s="1">
        <f t="shared" si="24"/>
        <v>2244878316</v>
      </c>
      <c r="D125" s="1">
        <f t="shared" si="28"/>
        <v>1931297305.1666667</v>
      </c>
      <c r="E125" s="1">
        <f t="shared" si="25"/>
        <v>33724827</v>
      </c>
      <c r="F125" s="1">
        <f t="shared" si="29"/>
        <v>347305837.83333325</v>
      </c>
      <c r="G125" s="2">
        <f t="shared" si="26"/>
        <v>1137363956179929</v>
      </c>
      <c r="H125" s="2">
        <f t="shared" si="30"/>
        <v>1.2062134499311358E+17</v>
      </c>
      <c r="I125" s="3">
        <f t="shared" si="27"/>
        <v>1.4800658510282762E-2</v>
      </c>
      <c r="J125" s="3">
        <f t="shared" si="31"/>
        <v>0.15242050328082657</v>
      </c>
    </row>
    <row r="126" spans="1:10" x14ac:dyDescent="0.3">
      <c r="A126" s="7">
        <v>44317</v>
      </c>
      <c r="B126" s="5">
        <v>2638482576</v>
      </c>
      <c r="C126" s="1">
        <f t="shared" si="24"/>
        <v>2272512447.3333335</v>
      </c>
      <c r="D126" s="1">
        <f t="shared" si="28"/>
        <v>2064653664.1666667</v>
      </c>
      <c r="E126" s="1">
        <f t="shared" si="25"/>
        <v>365970128.66666651</v>
      </c>
      <c r="F126" s="1">
        <f t="shared" si="29"/>
        <v>573828911.83333325</v>
      </c>
      <c r="G126" s="2">
        <f t="shared" si="26"/>
        <v>1.3393413507629643E+17</v>
      </c>
      <c r="H126" s="2">
        <f t="shared" si="30"/>
        <v>3.2927962005582733E+17</v>
      </c>
      <c r="I126" s="3">
        <f t="shared" si="27"/>
        <v>0.13870477371940262</v>
      </c>
      <c r="J126" s="3">
        <f t="shared" si="31"/>
        <v>0.2174844424037361</v>
      </c>
    </row>
    <row r="127" spans="1:10" x14ac:dyDescent="0.3">
      <c r="A127" s="7">
        <v>44348</v>
      </c>
      <c r="B127" s="5">
        <v>2991786668</v>
      </c>
      <c r="C127" s="1">
        <f t="shared" si="24"/>
        <v>2414537550.6666665</v>
      </c>
      <c r="D127" s="1">
        <f t="shared" si="28"/>
        <v>2251800566</v>
      </c>
      <c r="E127" s="1">
        <f t="shared" si="25"/>
        <v>577249117.33333349</v>
      </c>
      <c r="F127" s="1">
        <f t="shared" si="29"/>
        <v>739986102</v>
      </c>
      <c r="G127" s="2">
        <f t="shared" si="26"/>
        <v>3.3321654346211264E+17</v>
      </c>
      <c r="H127" s="2">
        <f t="shared" si="30"/>
        <v>5.4757943115315443E+17</v>
      </c>
      <c r="I127" s="3">
        <f t="shared" si="27"/>
        <v>0.19294461182929956</v>
      </c>
      <c r="J127" s="3">
        <f t="shared" si="31"/>
        <v>0.24733919363798704</v>
      </c>
    </row>
    <row r="128" spans="1:10" x14ac:dyDescent="0.3">
      <c r="A128" s="7">
        <v>44378</v>
      </c>
      <c r="B128" s="5">
        <v>3415123138</v>
      </c>
      <c r="C128" s="1">
        <f t="shared" si="24"/>
        <v>2636290795.6666665</v>
      </c>
      <c r="D128" s="1">
        <f t="shared" si="28"/>
        <v>2440584555.8333335</v>
      </c>
      <c r="E128" s="1">
        <f t="shared" si="25"/>
        <v>778832342.33333349</v>
      </c>
      <c r="F128" s="1">
        <f t="shared" si="29"/>
        <v>974538582.16666651</v>
      </c>
      <c r="G128" s="2">
        <f t="shared" si="26"/>
        <v>6.0657981746442675E+17</v>
      </c>
      <c r="H128" s="2">
        <f t="shared" si="30"/>
        <v>9.4972544813141658E+17</v>
      </c>
      <c r="I128" s="3">
        <f t="shared" si="27"/>
        <v>0.22805395614210308</v>
      </c>
      <c r="J128" s="3">
        <f t="shared" si="31"/>
        <v>0.28535971992429704</v>
      </c>
    </row>
    <row r="129" spans="1:10" x14ac:dyDescent="0.3">
      <c r="A129" s="7">
        <v>44409</v>
      </c>
      <c r="B129" s="5">
        <v>3855049466</v>
      </c>
      <c r="C129" s="1">
        <f t="shared" si="24"/>
        <v>3015130794</v>
      </c>
      <c r="D129" s="1">
        <f t="shared" si="28"/>
        <v>2643821620.6666665</v>
      </c>
      <c r="E129" s="1">
        <f t="shared" si="25"/>
        <v>839918672</v>
      </c>
      <c r="F129" s="1">
        <f t="shared" si="29"/>
        <v>1211227845.3333335</v>
      </c>
      <c r="G129" s="2">
        <f t="shared" si="26"/>
        <v>7.0546337557424358E+17</v>
      </c>
      <c r="H129" s="2">
        <f t="shared" si="30"/>
        <v>1.4670728933108296E+18</v>
      </c>
      <c r="I129" s="3">
        <f t="shared" si="27"/>
        <v>0.21787494023299778</v>
      </c>
      <c r="J129" s="3">
        <f t="shared" si="31"/>
        <v>0.31419255602707058</v>
      </c>
    </row>
    <row r="130" spans="1:10" x14ac:dyDescent="0.3">
      <c r="A130" s="7">
        <v>44440</v>
      </c>
      <c r="B130" s="5">
        <v>3897862783</v>
      </c>
      <c r="C130" s="1">
        <f t="shared" si="24"/>
        <v>3420653090.6666665</v>
      </c>
      <c r="D130" s="1">
        <f t="shared" si="28"/>
        <v>2917595320.6666665</v>
      </c>
      <c r="E130" s="1">
        <f t="shared" si="25"/>
        <v>477209692.33333349</v>
      </c>
      <c r="F130" s="1">
        <f t="shared" si="29"/>
        <v>980267462.33333349</v>
      </c>
      <c r="G130" s="2">
        <f t="shared" si="26"/>
        <v>2.2772909045687482E+17</v>
      </c>
      <c r="H130" s="2">
        <f t="shared" si="30"/>
        <v>9.6092429770943334E+17</v>
      </c>
      <c r="I130" s="3">
        <f t="shared" si="27"/>
        <v>0.12242855095223436</v>
      </c>
      <c r="J130" s="3">
        <f t="shared" si="31"/>
        <v>0.25148844813333016</v>
      </c>
    </row>
    <row r="131" spans="1:10" x14ac:dyDescent="0.3">
      <c r="A131" s="7">
        <v>44470</v>
      </c>
      <c r="B131" s="5">
        <v>3976051170</v>
      </c>
      <c r="C131" s="1">
        <f t="shared" si="24"/>
        <v>3722678462.3333335</v>
      </c>
      <c r="D131" s="1">
        <f t="shared" si="28"/>
        <v>3179484629</v>
      </c>
      <c r="E131" s="1">
        <f t="shared" si="25"/>
        <v>253372707.66666651</v>
      </c>
      <c r="F131" s="1">
        <f t="shared" si="29"/>
        <v>796566541</v>
      </c>
      <c r="G131" s="2">
        <f t="shared" si="26"/>
        <v>6.4197728990338048E+16</v>
      </c>
      <c r="H131" s="2">
        <f t="shared" si="30"/>
        <v>6.3451825424070464E+17</v>
      </c>
      <c r="I131" s="3">
        <f t="shared" si="27"/>
        <v>6.372470997818333E-2</v>
      </c>
      <c r="J131" s="3">
        <f t="shared" si="31"/>
        <v>0.20034111910083893</v>
      </c>
    </row>
    <row r="132" spans="1:10" x14ac:dyDescent="0.3">
      <c r="A132" s="7">
        <v>44501</v>
      </c>
      <c r="B132" s="5">
        <v>3897474585</v>
      </c>
      <c r="C132" s="1">
        <f t="shared" si="24"/>
        <v>3909654473</v>
      </c>
      <c r="D132" s="1">
        <f t="shared" si="28"/>
        <v>3462392633.5</v>
      </c>
      <c r="E132" s="1">
        <f t="shared" si="25"/>
        <v>12179888</v>
      </c>
      <c r="F132" s="1">
        <f t="shared" si="29"/>
        <v>435081951.5</v>
      </c>
      <c r="G132" s="2">
        <f t="shared" si="26"/>
        <v>148349671692544</v>
      </c>
      <c r="H132" s="2">
        <f t="shared" si="30"/>
        <v>1.8929630452104835E+17</v>
      </c>
      <c r="I132" s="3">
        <f t="shared" si="27"/>
        <v>3.1250718213471046E-3</v>
      </c>
      <c r="J132" s="3">
        <f t="shared" si="31"/>
        <v>0.11163176103174</v>
      </c>
    </row>
    <row r="133" spans="1:10" x14ac:dyDescent="0.3">
      <c r="A133" s="7">
        <v>44531</v>
      </c>
      <c r="B133" s="5">
        <v>3983456756</v>
      </c>
      <c r="C133" s="1">
        <f t="shared" ref="C133:C164" si="32">AVERAGEA(B130:B132)</f>
        <v>3923796179.3333335</v>
      </c>
      <c r="D133" s="1">
        <f t="shared" si="28"/>
        <v>3672224635</v>
      </c>
      <c r="E133" s="1">
        <f t="shared" ref="E133:E164" si="33">ABS(B133-C133)</f>
        <v>59660576.666666508</v>
      </c>
      <c r="F133" s="1">
        <f t="shared" si="29"/>
        <v>311232121</v>
      </c>
      <c r="G133" s="2">
        <f t="shared" ref="G133:G164" si="34">(B133-C133)^2</f>
        <v>3559384408199192</v>
      </c>
      <c r="H133" s="2">
        <f t="shared" si="30"/>
        <v>9.686543314215864E+16</v>
      </c>
      <c r="I133" s="3">
        <f t="shared" ref="I133:I164" si="35">E133/B133</f>
        <v>1.4977086566034385E-2</v>
      </c>
      <c r="J133" s="3">
        <f t="shared" si="31"/>
        <v>7.81311659857266E-2</v>
      </c>
    </row>
    <row r="134" spans="1:10" x14ac:dyDescent="0.3">
      <c r="A134" s="7">
        <v>44562</v>
      </c>
      <c r="B134" s="5">
        <v>4514151564</v>
      </c>
      <c r="C134" s="1">
        <f t="shared" si="32"/>
        <v>3952327503.6666665</v>
      </c>
      <c r="D134" s="1">
        <f t="shared" si="28"/>
        <v>3837502983</v>
      </c>
      <c r="E134" s="1">
        <f t="shared" si="33"/>
        <v>561824060.33333349</v>
      </c>
      <c r="F134" s="1">
        <f t="shared" si="29"/>
        <v>676648581</v>
      </c>
      <c r="G134" s="2">
        <f t="shared" si="34"/>
        <v>3.1564627476943315E+17</v>
      </c>
      <c r="H134" s="2">
        <f t="shared" si="30"/>
        <v>4.5785330216931354E+17</v>
      </c>
      <c r="I134" s="3">
        <f t="shared" si="35"/>
        <v>0.12445839541893891</v>
      </c>
      <c r="J134" s="3">
        <f t="shared" si="31"/>
        <v>0.14989496285331194</v>
      </c>
    </row>
    <row r="135" spans="1:10" x14ac:dyDescent="0.3">
      <c r="A135" s="7">
        <v>44593</v>
      </c>
      <c r="B135" s="5">
        <v>4025509487</v>
      </c>
      <c r="C135" s="1">
        <f t="shared" si="32"/>
        <v>4131694301.6666665</v>
      </c>
      <c r="D135" s="1">
        <f t="shared" si="28"/>
        <v>4020674387.3333335</v>
      </c>
      <c r="E135" s="1">
        <f t="shared" si="33"/>
        <v>106184814.66666651</v>
      </c>
      <c r="F135" s="1">
        <f t="shared" si="29"/>
        <v>4835099.6666665077</v>
      </c>
      <c r="G135" s="2">
        <f t="shared" si="34"/>
        <v>1.1275214865794314E+16</v>
      </c>
      <c r="H135" s="2">
        <f t="shared" si="30"/>
        <v>23378188786598.574</v>
      </c>
      <c r="I135" s="3">
        <f t="shared" si="35"/>
        <v>2.6377981472799968E-2</v>
      </c>
      <c r="J135" s="3">
        <f t="shared" si="31"/>
        <v>1.2011149600518896E-3</v>
      </c>
    </row>
    <row r="136" spans="1:10" x14ac:dyDescent="0.3">
      <c r="A136" s="7">
        <v>44621</v>
      </c>
      <c r="B136" s="5">
        <v>4248997961</v>
      </c>
      <c r="C136" s="1">
        <f t="shared" si="32"/>
        <v>4174372602.3333335</v>
      </c>
      <c r="D136" s="1">
        <f t="shared" ref="D136:D167" si="36">AVERAGE(B130:B135)</f>
        <v>4049084390.8333335</v>
      </c>
      <c r="E136" s="1">
        <f t="shared" si="33"/>
        <v>74625358.666666508</v>
      </c>
      <c r="F136" s="1">
        <f t="shared" ref="F136:F167" si="37">ABS(B136-D136)</f>
        <v>199913570.16666651</v>
      </c>
      <c r="G136" s="2">
        <f t="shared" si="34"/>
        <v>5568944156128618</v>
      </c>
      <c r="H136" s="2">
        <f t="shared" ref="H136:H167" si="38">(B136-D136)^2</f>
        <v>3.9965435536782696E+16</v>
      </c>
      <c r="I136" s="3">
        <f t="shared" si="35"/>
        <v>1.7563048829777141E-2</v>
      </c>
      <c r="J136" s="3">
        <f t="shared" ref="J136:J167" si="39">F136/B136</f>
        <v>4.7049580160216625E-2</v>
      </c>
    </row>
    <row r="137" spans="1:10" x14ac:dyDescent="0.3">
      <c r="A137" s="7">
        <v>44652</v>
      </c>
      <c r="B137" s="5">
        <v>4041802182</v>
      </c>
      <c r="C137" s="1">
        <f t="shared" si="32"/>
        <v>4262886337.3333335</v>
      </c>
      <c r="D137" s="1">
        <f t="shared" si="36"/>
        <v>4107606920.5</v>
      </c>
      <c r="E137" s="1">
        <f t="shared" si="33"/>
        <v>221084155.33333349</v>
      </c>
      <c r="F137" s="1">
        <f t="shared" si="37"/>
        <v>65804738.5</v>
      </c>
      <c r="G137" s="2">
        <f t="shared" si="34"/>
        <v>4.8878203739453536E+16</v>
      </c>
      <c r="H137" s="2">
        <f t="shared" si="38"/>
        <v>4330263609053382</v>
      </c>
      <c r="I137" s="3">
        <f t="shared" si="35"/>
        <v>5.469940026207188E-2</v>
      </c>
      <c r="J137" s="3">
        <f t="shared" si="39"/>
        <v>1.6281038887320784E-2</v>
      </c>
    </row>
    <row r="138" spans="1:10" x14ac:dyDescent="0.3">
      <c r="A138" s="7">
        <v>44682</v>
      </c>
      <c r="B138" s="5">
        <v>3967132108</v>
      </c>
      <c r="C138" s="1">
        <f t="shared" si="32"/>
        <v>4105436543.3333335</v>
      </c>
      <c r="D138" s="1">
        <f t="shared" si="36"/>
        <v>4118565422.5</v>
      </c>
      <c r="E138" s="1">
        <f t="shared" si="33"/>
        <v>138304435.33333349</v>
      </c>
      <c r="F138" s="1">
        <f t="shared" si="37"/>
        <v>151433314.5</v>
      </c>
      <c r="G138" s="2">
        <f t="shared" si="34"/>
        <v>1.9128116832872224E+16</v>
      </c>
      <c r="H138" s="2">
        <f t="shared" si="38"/>
        <v>2.2932048740455912E+16</v>
      </c>
      <c r="I138" s="3">
        <f t="shared" si="35"/>
        <v>3.4862573659806516E-2</v>
      </c>
      <c r="J138" s="3">
        <f t="shared" si="39"/>
        <v>3.8171986809973912E-2</v>
      </c>
    </row>
    <row r="139" spans="1:10" x14ac:dyDescent="0.3">
      <c r="A139" s="7">
        <v>44713</v>
      </c>
      <c r="B139" s="5">
        <v>4196674541</v>
      </c>
      <c r="C139" s="1">
        <f t="shared" si="32"/>
        <v>4085977417</v>
      </c>
      <c r="D139" s="1">
        <f t="shared" si="36"/>
        <v>4130175009.6666665</v>
      </c>
      <c r="E139" s="1">
        <f t="shared" si="33"/>
        <v>110697124</v>
      </c>
      <c r="F139" s="1">
        <f t="shared" si="37"/>
        <v>66499531.333333492</v>
      </c>
      <c r="G139" s="2">
        <f t="shared" si="34"/>
        <v>1.2253853261871376E+16</v>
      </c>
      <c r="H139" s="2">
        <f t="shared" si="38"/>
        <v>4422187667553003</v>
      </c>
      <c r="I139" s="3">
        <f t="shared" si="35"/>
        <v>2.6377343041145779E-2</v>
      </c>
      <c r="J139" s="3">
        <f t="shared" si="39"/>
        <v>1.584576804411612E-2</v>
      </c>
    </row>
    <row r="140" spans="1:10" x14ac:dyDescent="0.3">
      <c r="A140" s="7">
        <v>44743</v>
      </c>
      <c r="B140" s="5">
        <v>4133509174</v>
      </c>
      <c r="C140" s="1">
        <f t="shared" si="32"/>
        <v>4068536277</v>
      </c>
      <c r="D140" s="1">
        <f t="shared" si="36"/>
        <v>4165711307.1666665</v>
      </c>
      <c r="E140" s="1">
        <f t="shared" si="33"/>
        <v>64972897</v>
      </c>
      <c r="F140" s="1">
        <f t="shared" si="37"/>
        <v>32202133.166666508</v>
      </c>
      <c r="G140" s="2">
        <f t="shared" si="34"/>
        <v>4221477344572609</v>
      </c>
      <c r="H140" s="2">
        <f t="shared" si="38"/>
        <v>1036977380483723.1</v>
      </c>
      <c r="I140" s="3">
        <f t="shared" si="35"/>
        <v>1.5718580572817668E-2</v>
      </c>
      <c r="J140" s="3">
        <f t="shared" si="39"/>
        <v>7.7905072448416698E-3</v>
      </c>
    </row>
    <row r="141" spans="1:10" x14ac:dyDescent="0.3">
      <c r="A141" s="7">
        <v>44774</v>
      </c>
      <c r="B141" s="5">
        <v>3783663232</v>
      </c>
      <c r="C141" s="1">
        <f t="shared" si="32"/>
        <v>4099105274.3333335</v>
      </c>
      <c r="D141" s="1">
        <f t="shared" si="36"/>
        <v>4102270908.8333335</v>
      </c>
      <c r="E141" s="1">
        <f t="shared" si="33"/>
        <v>315442042.33333349</v>
      </c>
      <c r="F141" s="1">
        <f t="shared" si="37"/>
        <v>318607676.83333349</v>
      </c>
      <c r="G141" s="2">
        <f t="shared" si="34"/>
        <v>9.950368207142456E+16</v>
      </c>
      <c r="H141" s="2">
        <f t="shared" si="38"/>
        <v>1.0151085173713387E+17</v>
      </c>
      <c r="I141" s="3">
        <f t="shared" si="35"/>
        <v>8.3369481635022405E-2</v>
      </c>
      <c r="J141" s="3">
        <f t="shared" si="39"/>
        <v>8.4206140266062005E-2</v>
      </c>
    </row>
    <row r="142" spans="1:10" x14ac:dyDescent="0.3">
      <c r="A142" s="7">
        <v>44805</v>
      </c>
      <c r="B142" s="5">
        <v>3098017092</v>
      </c>
      <c r="C142" s="1">
        <f t="shared" si="32"/>
        <v>4037948982.3333335</v>
      </c>
      <c r="D142" s="1">
        <f t="shared" si="36"/>
        <v>4061963199.6666665</v>
      </c>
      <c r="E142" s="1">
        <f t="shared" si="33"/>
        <v>939931890.33333349</v>
      </c>
      <c r="F142" s="1">
        <f t="shared" si="37"/>
        <v>963946107.66666651</v>
      </c>
      <c r="G142" s="2">
        <f t="shared" si="34"/>
        <v>8.834719584655936E+17</v>
      </c>
      <c r="H142" s="2">
        <f t="shared" si="38"/>
        <v>9.2919209848571661E+17</v>
      </c>
      <c r="I142" s="3">
        <f t="shared" si="35"/>
        <v>0.30339790337519978</v>
      </c>
      <c r="J142" s="3">
        <f t="shared" si="39"/>
        <v>0.31114938331226821</v>
      </c>
    </row>
    <row r="143" spans="1:10" x14ac:dyDescent="0.3">
      <c r="A143" s="7">
        <v>44835</v>
      </c>
      <c r="B143" s="5">
        <v>2647099346</v>
      </c>
      <c r="C143" s="1">
        <f t="shared" si="32"/>
        <v>3671729832.6666665</v>
      </c>
      <c r="D143" s="1">
        <f t="shared" si="36"/>
        <v>3870133054.8333335</v>
      </c>
      <c r="E143" s="1">
        <f t="shared" si="33"/>
        <v>1024630486.6666665</v>
      </c>
      <c r="F143" s="1">
        <f t="shared" si="37"/>
        <v>1223033708.8333335</v>
      </c>
      <c r="G143" s="2">
        <f t="shared" si="34"/>
        <v>1.0498676342067698E+18</v>
      </c>
      <c r="H143" s="2">
        <f t="shared" si="38"/>
        <v>1.4958114529426191E+18</v>
      </c>
      <c r="I143" s="3">
        <f t="shared" si="35"/>
        <v>0.38707670273689326</v>
      </c>
      <c r="J143" s="3">
        <f t="shared" si="39"/>
        <v>0.4620278837216461</v>
      </c>
    </row>
    <row r="144" spans="1:10" x14ac:dyDescent="0.3">
      <c r="A144" s="7">
        <v>44866</v>
      </c>
      <c r="B144" s="5">
        <v>2183396256</v>
      </c>
      <c r="C144" s="1">
        <f t="shared" si="32"/>
        <v>3176259890</v>
      </c>
      <c r="D144" s="1">
        <f t="shared" si="36"/>
        <v>3637682582.1666665</v>
      </c>
      <c r="E144" s="1">
        <f t="shared" si="33"/>
        <v>992863634</v>
      </c>
      <c r="F144" s="1">
        <f t="shared" si="37"/>
        <v>1454286326.1666665</v>
      </c>
      <c r="G144" s="2">
        <f t="shared" si="34"/>
        <v>9.8577819571968602E+17</v>
      </c>
      <c r="H144" s="2">
        <f t="shared" si="38"/>
        <v>2.11494871847534E+18</v>
      </c>
      <c r="I144" s="3">
        <f t="shared" si="35"/>
        <v>0.45473359738141822</v>
      </c>
      <c r="J144" s="3">
        <f t="shared" si="39"/>
        <v>0.66606614450779134</v>
      </c>
    </row>
    <row r="145" spans="1:10" x14ac:dyDescent="0.3">
      <c r="A145" s="7">
        <v>44896</v>
      </c>
      <c r="B145" s="5">
        <v>1857201428</v>
      </c>
      <c r="C145" s="1">
        <f t="shared" si="32"/>
        <v>2642837564.6666665</v>
      </c>
      <c r="D145" s="1">
        <f t="shared" si="36"/>
        <v>3340393273.5</v>
      </c>
      <c r="E145" s="1">
        <f t="shared" si="33"/>
        <v>785636136.66666651</v>
      </c>
      <c r="F145" s="1">
        <f t="shared" si="37"/>
        <v>1483191845.5</v>
      </c>
      <c r="G145" s="2">
        <f t="shared" si="34"/>
        <v>6.1722413923652506E+17</v>
      </c>
      <c r="H145" s="2">
        <f t="shared" si="38"/>
        <v>2.1998580505576957E+18</v>
      </c>
      <c r="I145" s="3">
        <f t="shared" si="35"/>
        <v>0.42302150150331808</v>
      </c>
      <c r="J145" s="3">
        <f t="shared" si="39"/>
        <v>0.79861657606909831</v>
      </c>
    </row>
    <row r="146" spans="1:10" x14ac:dyDescent="0.3">
      <c r="A146" s="7">
        <v>44927</v>
      </c>
      <c r="B146" s="5">
        <v>1591138738</v>
      </c>
      <c r="C146" s="1">
        <f t="shared" si="32"/>
        <v>2229232343.3333335</v>
      </c>
      <c r="D146" s="1">
        <f t="shared" si="36"/>
        <v>2950481088</v>
      </c>
      <c r="E146" s="1">
        <f t="shared" si="33"/>
        <v>638093605.33333349</v>
      </c>
      <c r="F146" s="1">
        <f t="shared" si="37"/>
        <v>1359342350</v>
      </c>
      <c r="G146" s="2">
        <f t="shared" si="34"/>
        <v>4.0716344916729197E+17</v>
      </c>
      <c r="H146" s="2">
        <f t="shared" si="38"/>
        <v>1.8478116245035226E+18</v>
      </c>
      <c r="I146" s="3">
        <f t="shared" si="35"/>
        <v>0.40102952061577768</v>
      </c>
      <c r="J146" s="3">
        <f t="shared" si="39"/>
        <v>0.85432044204306212</v>
      </c>
    </row>
    <row r="147" spans="1:10" x14ac:dyDescent="0.3">
      <c r="A147" s="7">
        <v>44958</v>
      </c>
      <c r="B147" s="5">
        <v>1235971039</v>
      </c>
      <c r="C147" s="1">
        <f t="shared" si="32"/>
        <v>1877245474</v>
      </c>
      <c r="D147" s="1">
        <f t="shared" si="36"/>
        <v>2526752682</v>
      </c>
      <c r="E147" s="1">
        <f t="shared" si="33"/>
        <v>641274435</v>
      </c>
      <c r="F147" s="1">
        <f t="shared" si="37"/>
        <v>1290781643</v>
      </c>
      <c r="G147" s="2">
        <f t="shared" si="34"/>
        <v>4.1123290098456922E+17</v>
      </c>
      <c r="H147" s="2">
        <f t="shared" si="38"/>
        <v>1.6661172499057795E+18</v>
      </c>
      <c r="I147" s="3">
        <f t="shared" si="35"/>
        <v>0.51884260614944722</v>
      </c>
      <c r="J147" s="3">
        <f t="shared" si="39"/>
        <v>1.0443461879530334</v>
      </c>
    </row>
    <row r="148" spans="1:10" x14ac:dyDescent="0.3">
      <c r="A148" s="7">
        <v>44986</v>
      </c>
      <c r="B148" s="5">
        <v>1425650479</v>
      </c>
      <c r="C148" s="1">
        <f t="shared" si="32"/>
        <v>1561437068.3333333</v>
      </c>
      <c r="D148" s="1">
        <f t="shared" si="36"/>
        <v>2102137316.5</v>
      </c>
      <c r="E148" s="1">
        <f t="shared" si="33"/>
        <v>135786589.33333325</v>
      </c>
      <c r="F148" s="1">
        <f t="shared" si="37"/>
        <v>676486837.5</v>
      </c>
      <c r="G148" s="2">
        <f t="shared" si="34"/>
        <v>1.8437997842779292E+16</v>
      </c>
      <c r="H148" s="2">
        <f t="shared" si="38"/>
        <v>4.5763444131075142E+17</v>
      </c>
      <c r="I148" s="3">
        <f t="shared" si="35"/>
        <v>9.5245357353352558E-2</v>
      </c>
      <c r="J148" s="3">
        <f t="shared" si="39"/>
        <v>0.47451100214584924</v>
      </c>
    </row>
    <row r="149" spans="1:10" x14ac:dyDescent="0.3">
      <c r="A149" s="7">
        <v>45017</v>
      </c>
      <c r="B149" s="5">
        <v>1357942393</v>
      </c>
      <c r="C149" s="1">
        <f t="shared" si="32"/>
        <v>1417586752</v>
      </c>
      <c r="D149" s="1">
        <f t="shared" si="36"/>
        <v>1823409547.6666667</v>
      </c>
      <c r="E149" s="1">
        <f t="shared" si="33"/>
        <v>59644359</v>
      </c>
      <c r="F149" s="1">
        <f t="shared" si="37"/>
        <v>465467154.66666675</v>
      </c>
      <c r="G149" s="2">
        <f t="shared" si="34"/>
        <v>3557449560520881</v>
      </c>
      <c r="H149" s="2">
        <f t="shared" si="38"/>
        <v>2.1665967207348266E+17</v>
      </c>
      <c r="I149" s="3">
        <f t="shared" si="35"/>
        <v>4.392259885799147E-2</v>
      </c>
      <c r="J149" s="3">
        <f t="shared" si="39"/>
        <v>0.34277385923444453</v>
      </c>
    </row>
    <row r="150" spans="1:10" x14ac:dyDescent="0.3">
      <c r="A150" s="7">
        <v>45047</v>
      </c>
      <c r="B150" s="5">
        <v>1388294072</v>
      </c>
      <c r="C150" s="1">
        <f t="shared" si="32"/>
        <v>1339854637</v>
      </c>
      <c r="D150" s="1">
        <f t="shared" si="36"/>
        <v>1608550055.5</v>
      </c>
      <c r="E150" s="1">
        <f t="shared" si="33"/>
        <v>48439435</v>
      </c>
      <c r="F150" s="1">
        <f t="shared" si="37"/>
        <v>220255983.5</v>
      </c>
      <c r="G150" s="2">
        <f t="shared" si="34"/>
        <v>2346378863119225</v>
      </c>
      <c r="H150" s="2">
        <f t="shared" si="38"/>
        <v>4.8512698267552272E+16</v>
      </c>
      <c r="I150" s="3">
        <f t="shared" si="35"/>
        <v>3.489133604828934E-2</v>
      </c>
      <c r="J150" s="3">
        <f t="shared" si="39"/>
        <v>0.15865225382882711</v>
      </c>
    </row>
    <row r="151" spans="1:10" x14ac:dyDescent="0.3">
      <c r="A151" s="7">
        <v>45078</v>
      </c>
      <c r="B151" s="5">
        <v>1386000649</v>
      </c>
      <c r="C151" s="1">
        <f t="shared" si="32"/>
        <v>1390628981.3333333</v>
      </c>
      <c r="D151" s="1">
        <f t="shared" si="36"/>
        <v>1476033024.8333333</v>
      </c>
      <c r="E151" s="1">
        <f t="shared" si="33"/>
        <v>4628332.3333332539</v>
      </c>
      <c r="F151" s="1">
        <f t="shared" si="37"/>
        <v>90032375.833333254</v>
      </c>
      <c r="G151" s="2">
        <f t="shared" si="34"/>
        <v>21421460187778.043</v>
      </c>
      <c r="H151" s="2">
        <f t="shared" si="38"/>
        <v>8105828698194570</v>
      </c>
      <c r="I151" s="3">
        <f t="shared" si="35"/>
        <v>3.3393435541841897E-3</v>
      </c>
      <c r="J151" s="3">
        <f t="shared" si="39"/>
        <v>6.4958393705148443E-2</v>
      </c>
    </row>
    <row r="152" spans="1:10" x14ac:dyDescent="0.3">
      <c r="A152" s="7">
        <v>45108</v>
      </c>
      <c r="B152" s="5">
        <v>1381770599</v>
      </c>
      <c r="C152" s="1">
        <f t="shared" si="32"/>
        <v>1377412371.3333333</v>
      </c>
      <c r="D152" s="1">
        <f t="shared" si="36"/>
        <v>1397499561.6666667</v>
      </c>
      <c r="E152" s="1">
        <f t="shared" si="33"/>
        <v>4358227.6666667461</v>
      </c>
      <c r="F152" s="1">
        <f t="shared" si="37"/>
        <v>15728962.666666746</v>
      </c>
      <c r="G152" s="2">
        <f t="shared" si="34"/>
        <v>18994148394499.469</v>
      </c>
      <c r="H152" s="2">
        <f t="shared" si="38"/>
        <v>247400266569396.28</v>
      </c>
      <c r="I152" s="3">
        <f t="shared" si="35"/>
        <v>3.1540891590983592E-3</v>
      </c>
      <c r="J152" s="3">
        <f t="shared" si="39"/>
        <v>1.1383193909357993E-2</v>
      </c>
    </row>
    <row r="153" spans="1:10" x14ac:dyDescent="0.3">
      <c r="A153" s="7">
        <v>45139</v>
      </c>
      <c r="B153" s="5">
        <v>1436576298</v>
      </c>
      <c r="C153" s="1">
        <f t="shared" si="32"/>
        <v>1385355106.6666667</v>
      </c>
      <c r="D153" s="1">
        <f t="shared" si="36"/>
        <v>1362604871.8333333</v>
      </c>
      <c r="E153" s="1">
        <f t="shared" si="33"/>
        <v>51221191.333333254</v>
      </c>
      <c r="F153" s="1">
        <f t="shared" si="37"/>
        <v>73971426.166666746</v>
      </c>
      <c r="G153" s="2">
        <f t="shared" si="34"/>
        <v>2623610441605933.5</v>
      </c>
      <c r="H153" s="2">
        <f t="shared" si="38"/>
        <v>5471771889130630</v>
      </c>
      <c r="I153" s="3">
        <f t="shared" si="35"/>
        <v>3.5655044152296915E-2</v>
      </c>
      <c r="J153" s="3">
        <f t="shared" si="39"/>
        <v>5.1491470567661242E-2</v>
      </c>
    </row>
    <row r="154" spans="1:10" x14ac:dyDescent="0.3">
      <c r="A154" s="7">
        <v>45170</v>
      </c>
      <c r="B154" s="5">
        <v>1402780189</v>
      </c>
      <c r="C154" s="1">
        <f t="shared" si="32"/>
        <v>1401449182</v>
      </c>
      <c r="D154" s="1">
        <f t="shared" si="36"/>
        <v>1396039081.6666667</v>
      </c>
      <c r="E154" s="1">
        <f t="shared" si="33"/>
        <v>1331007</v>
      </c>
      <c r="F154" s="1">
        <f t="shared" si="37"/>
        <v>6741107.3333332539</v>
      </c>
      <c r="G154" s="2">
        <f t="shared" si="34"/>
        <v>1771579634049</v>
      </c>
      <c r="H154" s="2">
        <f t="shared" si="38"/>
        <v>45442528079519.375</v>
      </c>
      <c r="I154" s="3">
        <f t="shared" si="35"/>
        <v>9.4883504232322747E-4</v>
      </c>
      <c r="J154" s="3">
        <f t="shared" si="39"/>
        <v>4.805533601197196E-3</v>
      </c>
    </row>
    <row r="155" spans="1:10" x14ac:dyDescent="0.3">
      <c r="A155" s="7">
        <v>45200</v>
      </c>
      <c r="B155" s="5">
        <v>1383704752</v>
      </c>
      <c r="C155" s="1">
        <f t="shared" si="32"/>
        <v>1407042362</v>
      </c>
      <c r="D155" s="1">
        <f t="shared" si="36"/>
        <v>1392227366.6666667</v>
      </c>
      <c r="E155" s="1">
        <f t="shared" si="33"/>
        <v>23337610</v>
      </c>
      <c r="F155" s="1">
        <f t="shared" si="37"/>
        <v>8522614.6666667461</v>
      </c>
      <c r="G155" s="2">
        <f t="shared" si="34"/>
        <v>544644040512100</v>
      </c>
      <c r="H155" s="2">
        <f t="shared" si="38"/>
        <v>72634960756483.125</v>
      </c>
      <c r="I155" s="3">
        <f t="shared" si="35"/>
        <v>1.6866032993142457E-2</v>
      </c>
      <c r="J155" s="3">
        <f t="shared" si="39"/>
        <v>6.1592725285854527E-3</v>
      </c>
    </row>
    <row r="156" spans="1:10" x14ac:dyDescent="0.3">
      <c r="A156" s="7">
        <v>45231</v>
      </c>
      <c r="B156" s="5">
        <v>1348412522</v>
      </c>
      <c r="C156" s="1">
        <f t="shared" si="32"/>
        <v>1407687079.6666667</v>
      </c>
      <c r="D156" s="1">
        <f t="shared" si="36"/>
        <v>1396521093.1666667</v>
      </c>
      <c r="E156" s="1">
        <f t="shared" si="33"/>
        <v>59274557.666666746</v>
      </c>
      <c r="F156" s="1">
        <f t="shared" si="37"/>
        <v>48108571.166666746</v>
      </c>
      <c r="G156" s="2">
        <f t="shared" si="34"/>
        <v>3513473186579001.5</v>
      </c>
      <c r="H156" s="2">
        <f t="shared" si="38"/>
        <v>2314434619698239</v>
      </c>
      <c r="I156" s="3">
        <f t="shared" si="35"/>
        <v>4.3958771295559612E-2</v>
      </c>
      <c r="J156" s="3">
        <f t="shared" si="39"/>
        <v>3.5677932666563258E-2</v>
      </c>
    </row>
    <row r="157" spans="1:10" x14ac:dyDescent="0.3">
      <c r="A157" s="7">
        <v>45261</v>
      </c>
      <c r="B157" s="5">
        <v>1333721396</v>
      </c>
      <c r="C157" s="1">
        <f t="shared" si="32"/>
        <v>1378299154.3333333</v>
      </c>
      <c r="D157" s="1">
        <f t="shared" si="36"/>
        <v>1389874168.1666667</v>
      </c>
      <c r="E157" s="1">
        <f t="shared" si="33"/>
        <v>44577758.333333254</v>
      </c>
      <c r="F157" s="1">
        <f t="shared" si="37"/>
        <v>56152772.166666746</v>
      </c>
      <c r="G157" s="2">
        <f t="shared" si="34"/>
        <v>1987176538025062.3</v>
      </c>
      <c r="H157" s="2">
        <f t="shared" si="38"/>
        <v>3153133822001583.5</v>
      </c>
      <c r="I157" s="3">
        <f t="shared" si="35"/>
        <v>3.3423590914135153E-2</v>
      </c>
      <c r="J157" s="3">
        <f t="shared" si="39"/>
        <v>4.2102325369508239E-2</v>
      </c>
    </row>
    <row r="158" spans="1:10" x14ac:dyDescent="0.3">
      <c r="A158" s="7">
        <v>45292</v>
      </c>
      <c r="B158" s="5">
        <v>1611023862</v>
      </c>
      <c r="C158" s="1">
        <f t="shared" si="32"/>
        <v>1355279556.6666667</v>
      </c>
      <c r="D158" s="1">
        <f t="shared" si="36"/>
        <v>1381160959.3333333</v>
      </c>
      <c r="E158" s="1">
        <f t="shared" si="33"/>
        <v>255744305.33333325</v>
      </c>
      <c r="F158" s="1">
        <f t="shared" si="37"/>
        <v>229862902.66666675</v>
      </c>
      <c r="G158" s="2">
        <f t="shared" si="34"/>
        <v>6.5405149710429184E+16</v>
      </c>
      <c r="H158" s="2">
        <f t="shared" si="38"/>
        <v>5.2836954022345512E+16</v>
      </c>
      <c r="I158" s="3">
        <f t="shared" si="35"/>
        <v>0.1587464415429827</v>
      </c>
      <c r="J158" s="3">
        <f t="shared" si="39"/>
        <v>0.14268125264221987</v>
      </c>
    </row>
    <row r="159" spans="1:10" x14ac:dyDescent="0.3">
      <c r="A159" s="7">
        <v>45323</v>
      </c>
      <c r="B159" s="5">
        <v>1675307061</v>
      </c>
      <c r="C159" s="1">
        <f t="shared" si="32"/>
        <v>1431052593.3333333</v>
      </c>
      <c r="D159" s="1">
        <f t="shared" si="36"/>
        <v>1419369836.5</v>
      </c>
      <c r="E159" s="1">
        <f t="shared" si="33"/>
        <v>244254467.66666675</v>
      </c>
      <c r="F159" s="1">
        <f t="shared" si="37"/>
        <v>255937224.5</v>
      </c>
      <c r="G159" s="2">
        <f t="shared" si="34"/>
        <v>5.9660244975126752E+16</v>
      </c>
      <c r="H159" s="2">
        <f t="shared" si="38"/>
        <v>6.55038628847634E+16</v>
      </c>
      <c r="I159" s="3">
        <f t="shared" si="35"/>
        <v>0.14579683531022064</v>
      </c>
      <c r="J159" s="3">
        <f t="shared" si="39"/>
        <v>0.15277033712687252</v>
      </c>
    </row>
    <row r="160" spans="1:10" x14ac:dyDescent="0.3">
      <c r="A160" s="7">
        <v>45352</v>
      </c>
      <c r="B160" s="5">
        <v>1747846324</v>
      </c>
      <c r="C160" s="1">
        <f t="shared" si="32"/>
        <v>1540017439.6666667</v>
      </c>
      <c r="D160" s="1">
        <f t="shared" si="36"/>
        <v>1459158297</v>
      </c>
      <c r="E160" s="1">
        <f t="shared" si="33"/>
        <v>207828884.33333325</v>
      </c>
      <c r="F160" s="1">
        <f t="shared" si="37"/>
        <v>288688027</v>
      </c>
      <c r="G160" s="2">
        <f t="shared" si="34"/>
        <v>4.3192845163238016E+16</v>
      </c>
      <c r="H160" s="2">
        <f t="shared" si="38"/>
        <v>8.3340776933152736E+16</v>
      </c>
      <c r="I160" s="3">
        <f t="shared" si="35"/>
        <v>0.11890569638737487</v>
      </c>
      <c r="J160" s="3">
        <f t="shared" si="39"/>
        <v>0.16516785431074316</v>
      </c>
    </row>
    <row r="161" spans="1:10" x14ac:dyDescent="0.3">
      <c r="A161" s="7">
        <v>45383</v>
      </c>
      <c r="B161" s="5">
        <v>1839732455</v>
      </c>
      <c r="C161" s="1">
        <f t="shared" si="32"/>
        <v>1678059082.3333333</v>
      </c>
      <c r="D161" s="1">
        <f t="shared" si="36"/>
        <v>1516669319.5</v>
      </c>
      <c r="E161" s="1">
        <f t="shared" si="33"/>
        <v>161673372.66666675</v>
      </c>
      <c r="F161" s="1">
        <f t="shared" si="37"/>
        <v>323063135.5</v>
      </c>
      <c r="G161" s="2">
        <f t="shared" si="34"/>
        <v>2.6138279429414908E+16</v>
      </c>
      <c r="H161" s="2">
        <f t="shared" si="38"/>
        <v>1.0436978951909136E+17</v>
      </c>
      <c r="I161" s="3">
        <f t="shared" si="35"/>
        <v>8.7878741404639055E-2</v>
      </c>
      <c r="J161" s="3">
        <f t="shared" si="39"/>
        <v>0.17560332461493702</v>
      </c>
    </row>
    <row r="162" spans="1:10" x14ac:dyDescent="0.3">
      <c r="A162" s="7">
        <v>45413</v>
      </c>
      <c r="B162" s="5">
        <v>1956918811</v>
      </c>
      <c r="C162" s="1">
        <f t="shared" si="32"/>
        <v>1754295280</v>
      </c>
      <c r="D162" s="1">
        <f t="shared" si="36"/>
        <v>1592673936.6666667</v>
      </c>
      <c r="E162" s="1">
        <f t="shared" si="33"/>
        <v>202623531</v>
      </c>
      <c r="F162" s="1">
        <f t="shared" si="37"/>
        <v>364244874.33333325</v>
      </c>
      <c r="G162" s="2">
        <f t="shared" si="34"/>
        <v>4.105629531490796E+16</v>
      </c>
      <c r="H162" s="2">
        <f t="shared" si="38"/>
        <v>1.3267432847810573E+17</v>
      </c>
      <c r="I162" s="3">
        <f t="shared" si="35"/>
        <v>0.1035421244157073</v>
      </c>
      <c r="J162" s="3">
        <f t="shared" si="39"/>
        <v>0.18613182738388692</v>
      </c>
    </row>
    <row r="163" spans="1:10" x14ac:dyDescent="0.3">
      <c r="A163" s="7">
        <v>45444</v>
      </c>
      <c r="B163" s="5">
        <v>2578214483</v>
      </c>
      <c r="C163" s="1">
        <f t="shared" si="32"/>
        <v>1848165863.3333333</v>
      </c>
      <c r="D163" s="1">
        <f t="shared" si="36"/>
        <v>1694091651.5</v>
      </c>
      <c r="E163" s="1">
        <f t="shared" si="33"/>
        <v>730048619.66666675</v>
      </c>
      <c r="F163" s="1">
        <f t="shared" si="37"/>
        <v>884122831.5</v>
      </c>
      <c r="G163" s="2">
        <f t="shared" si="34"/>
        <v>5.3297098707720544E+17</v>
      </c>
      <c r="H163" s="2">
        <f t="shared" si="38"/>
        <v>7.8167318117957734E+17</v>
      </c>
      <c r="I163" s="3">
        <f t="shared" si="35"/>
        <v>0.28316054559478898</v>
      </c>
      <c r="J163" s="3">
        <f t="shared" si="39"/>
        <v>0.34292058993914198</v>
      </c>
    </row>
    <row r="164" spans="1:10" x14ac:dyDescent="0.3">
      <c r="A164" s="7">
        <v>45474</v>
      </c>
      <c r="B164" s="5">
        <v>3061656202</v>
      </c>
      <c r="C164" s="1">
        <f t="shared" si="32"/>
        <v>2124955249.6666667</v>
      </c>
      <c r="D164" s="1">
        <f t="shared" si="36"/>
        <v>1901507166</v>
      </c>
      <c r="E164" s="1">
        <f t="shared" si="33"/>
        <v>936700952.33333325</v>
      </c>
      <c r="F164" s="1">
        <f t="shared" si="37"/>
        <v>1160149036</v>
      </c>
      <c r="G164" s="2">
        <f t="shared" si="34"/>
        <v>8.7740867410217344E+17</v>
      </c>
      <c r="H164" s="2">
        <f t="shared" si="38"/>
        <v>1.3459457857317294E+18</v>
      </c>
      <c r="I164" s="3">
        <f t="shared" si="35"/>
        <v>0.30594583144947546</v>
      </c>
      <c r="J164" s="3">
        <f t="shared" si="39"/>
        <v>0.37892857964984533</v>
      </c>
    </row>
    <row r="165" spans="1:10" x14ac:dyDescent="0.3">
      <c r="A165" s="7">
        <v>45505</v>
      </c>
      <c r="B165" s="5">
        <v>3065907209</v>
      </c>
      <c r="C165" s="1">
        <f t="shared" ref="C165:C181" si="40">AVERAGEA(B162:B164)</f>
        <v>2532263165.3333335</v>
      </c>
      <c r="D165" s="1">
        <f t="shared" si="36"/>
        <v>2143279222.6666667</v>
      </c>
      <c r="E165" s="1">
        <f t="shared" ref="E165:E181" si="41">ABS(B165-C165)</f>
        <v>533644043.66666651</v>
      </c>
      <c r="F165" s="1">
        <f t="shared" si="37"/>
        <v>922627986.33333325</v>
      </c>
      <c r="G165" s="2">
        <f t="shared" ref="G165:G181" si="42">(B165-C165)^2</f>
        <v>2.8477596534091107E+17</v>
      </c>
      <c r="H165" s="2">
        <f t="shared" si="38"/>
        <v>8.5124240116550131E+17</v>
      </c>
      <c r="I165" s="3">
        <f t="shared" ref="I165:I181" si="43">E165/B165</f>
        <v>0.17405746726455038</v>
      </c>
      <c r="J165" s="3">
        <f t="shared" si="39"/>
        <v>0.30093147751665478</v>
      </c>
    </row>
    <row r="166" spans="1:10" x14ac:dyDescent="0.3">
      <c r="A166" s="7">
        <v>45536</v>
      </c>
      <c r="B166" s="5">
        <v>2540128221</v>
      </c>
      <c r="C166" s="1">
        <f t="shared" si="40"/>
        <v>2901925964.6666665</v>
      </c>
      <c r="D166" s="1">
        <f t="shared" si="36"/>
        <v>2375045914</v>
      </c>
      <c r="E166" s="1">
        <f t="shared" si="41"/>
        <v>361797743.66666651</v>
      </c>
      <c r="F166" s="1">
        <f t="shared" si="37"/>
        <v>165082307</v>
      </c>
      <c r="G166" s="2">
        <f t="shared" si="42"/>
        <v>1.3089760732229093E+17</v>
      </c>
      <c r="H166" s="2">
        <f t="shared" si="38"/>
        <v>2.7252168084442248E+16</v>
      </c>
      <c r="I166" s="3">
        <f t="shared" si="43"/>
        <v>0.14243286644964467</v>
      </c>
      <c r="J166" s="3">
        <f t="shared" si="39"/>
        <v>6.4989753523154919E-2</v>
      </c>
    </row>
    <row r="167" spans="1:10" x14ac:dyDescent="0.3">
      <c r="A167" s="7">
        <v>45566</v>
      </c>
      <c r="B167" s="5">
        <v>2315091578</v>
      </c>
      <c r="C167" s="1">
        <f t="shared" si="40"/>
        <v>2889230544</v>
      </c>
      <c r="D167" s="1">
        <f t="shared" si="36"/>
        <v>2507092896.8333335</v>
      </c>
      <c r="E167" s="1">
        <f t="shared" si="41"/>
        <v>574138966</v>
      </c>
      <c r="F167" s="1">
        <f t="shared" si="37"/>
        <v>192001318.83333349</v>
      </c>
      <c r="G167" s="2">
        <f t="shared" si="42"/>
        <v>3.2963555227954918E+17</v>
      </c>
      <c r="H167" s="2">
        <f t="shared" si="38"/>
        <v>3.6864506433739384E+16</v>
      </c>
      <c r="I167" s="3">
        <f t="shared" si="43"/>
        <v>0.24799838220481835</v>
      </c>
      <c r="J167" s="3">
        <f t="shared" si="39"/>
        <v>8.2934653928119245E-2</v>
      </c>
    </row>
    <row r="168" spans="1:10" x14ac:dyDescent="0.3">
      <c r="A168" s="7">
        <v>45597</v>
      </c>
      <c r="B168" s="5">
        <v>2070071746</v>
      </c>
      <c r="C168" s="1">
        <f t="shared" si="40"/>
        <v>2640375669.3333335</v>
      </c>
      <c r="D168" s="1">
        <f t="shared" ref="D168:D181" si="44">AVERAGE(B162:B167)</f>
        <v>2586319417.3333335</v>
      </c>
      <c r="E168" s="1">
        <f t="shared" si="41"/>
        <v>570303923.33333349</v>
      </c>
      <c r="F168" s="1">
        <f t="shared" ref="F168:F181" si="45">ABS(B168-D168)</f>
        <v>516247671.33333349</v>
      </c>
      <c r="G168" s="2">
        <f t="shared" si="42"/>
        <v>3.252465649693927E+17</v>
      </c>
      <c r="H168" s="2">
        <f t="shared" ref="H168:H181" si="46">(B168-D168)^2</f>
        <v>2.665116581570895E+17</v>
      </c>
      <c r="I168" s="3">
        <f t="shared" si="43"/>
        <v>0.27549959291765219</v>
      </c>
      <c r="J168" s="3">
        <f t="shared" ref="J168:J181" si="47">F168/B168</f>
        <v>0.24938636659858721</v>
      </c>
    </row>
    <row r="169" spans="1:10" x14ac:dyDescent="0.3">
      <c r="A169" s="7">
        <v>45627</v>
      </c>
      <c r="B169" s="5">
        <v>2142035611</v>
      </c>
      <c r="C169" s="1">
        <f t="shared" si="40"/>
        <v>2308430515</v>
      </c>
      <c r="D169" s="1">
        <f t="shared" si="44"/>
        <v>2605178239.8333335</v>
      </c>
      <c r="E169" s="1">
        <f t="shared" si="41"/>
        <v>166394904</v>
      </c>
      <c r="F169" s="1">
        <f t="shared" si="45"/>
        <v>463142628.83333349</v>
      </c>
      <c r="G169" s="2">
        <f t="shared" si="42"/>
        <v>2.7687264077169216E+16</v>
      </c>
      <c r="H169" s="2">
        <f t="shared" si="46"/>
        <v>2.1450109464265091E+17</v>
      </c>
      <c r="I169" s="3">
        <f t="shared" si="43"/>
        <v>7.7680736559892799E-2</v>
      </c>
      <c r="J169" s="3">
        <f t="shared" si="47"/>
        <v>0.21621612005652763</v>
      </c>
    </row>
    <row r="170" spans="1:10" x14ac:dyDescent="0.3">
      <c r="A170" s="7">
        <v>45658</v>
      </c>
      <c r="B170" s="5">
        <v>2266553000</v>
      </c>
      <c r="C170" s="1">
        <f t="shared" si="40"/>
        <v>2175732978.3333335</v>
      </c>
      <c r="D170" s="1">
        <f t="shared" si="44"/>
        <v>2532481761.1666665</v>
      </c>
      <c r="E170" s="1">
        <f t="shared" si="41"/>
        <v>90820021.666666508</v>
      </c>
      <c r="F170" s="1">
        <f t="shared" si="45"/>
        <v>265928761.16666651</v>
      </c>
      <c r="G170" s="2">
        <f t="shared" si="42"/>
        <v>8248276335533774</v>
      </c>
      <c r="H170" s="2">
        <f t="shared" si="46"/>
        <v>7.071810601563796E+16</v>
      </c>
      <c r="I170" s="3">
        <f t="shared" si="43"/>
        <v>4.0069665993544605E-2</v>
      </c>
      <c r="J170" s="3">
        <f t="shared" si="47"/>
        <v>0.11732739590323567</v>
      </c>
    </row>
    <row r="171" spans="1:10" x14ac:dyDescent="0.3">
      <c r="A171" s="7">
        <v>45689</v>
      </c>
      <c r="B171" s="5">
        <v>1815909000</v>
      </c>
      <c r="C171" s="1">
        <f t="shared" si="40"/>
        <v>2159553452.3333335</v>
      </c>
      <c r="D171" s="1">
        <f t="shared" si="44"/>
        <v>2399964560.8333335</v>
      </c>
      <c r="E171" s="1">
        <f t="shared" si="41"/>
        <v>343644452.33333349</v>
      </c>
      <c r="F171" s="1">
        <f t="shared" si="45"/>
        <v>584055560.83333349</v>
      </c>
      <c r="G171" s="2">
        <f t="shared" si="42"/>
        <v>1.1809150961947672E+17</v>
      </c>
      <c r="H171" s="2">
        <f t="shared" si="46"/>
        <v>3.4112089814033971E+17</v>
      </c>
      <c r="I171" s="3">
        <f t="shared" si="43"/>
        <v>0.18924100950726799</v>
      </c>
      <c r="J171" s="3">
        <f t="shared" si="47"/>
        <v>0.32163261530910059</v>
      </c>
    </row>
    <row r="172" spans="1:10" x14ac:dyDescent="0.3">
      <c r="A172" s="7">
        <v>45717</v>
      </c>
      <c r="B172" s="5">
        <v>1774512000</v>
      </c>
      <c r="C172" s="1">
        <f t="shared" si="40"/>
        <v>2074832537</v>
      </c>
      <c r="D172" s="1">
        <f t="shared" si="44"/>
        <v>2191631526</v>
      </c>
      <c r="E172" s="1">
        <f t="shared" si="41"/>
        <v>300320537</v>
      </c>
      <c r="F172" s="1">
        <f t="shared" si="45"/>
        <v>417119526</v>
      </c>
      <c r="G172" s="2">
        <f t="shared" si="42"/>
        <v>9.0192424943968368E+16</v>
      </c>
      <c r="H172" s="2">
        <f t="shared" si="46"/>
        <v>1.7398869897046467E+17</v>
      </c>
      <c r="I172" s="3">
        <f t="shared" si="43"/>
        <v>0.16924119814348959</v>
      </c>
      <c r="J172" s="3">
        <f t="shared" si="47"/>
        <v>0.23506154142660066</v>
      </c>
    </row>
    <row r="173" spans="1:10" x14ac:dyDescent="0.3">
      <c r="A173" s="7">
        <v>45748</v>
      </c>
      <c r="B173" s="5">
        <v>1652499000</v>
      </c>
      <c r="C173" s="1">
        <f t="shared" si="40"/>
        <v>1952324666.6666667</v>
      </c>
      <c r="D173" s="1">
        <f t="shared" si="44"/>
        <v>2064028822.5</v>
      </c>
      <c r="E173" s="1">
        <f t="shared" si="41"/>
        <v>299825666.66666675</v>
      </c>
      <c r="F173" s="1">
        <f t="shared" si="45"/>
        <v>411529822.5</v>
      </c>
      <c r="G173" s="2">
        <f t="shared" si="42"/>
        <v>8.9895430392111152E+16</v>
      </c>
      <c r="H173" s="2">
        <f t="shared" si="46"/>
        <v>1.693567948068815E+17</v>
      </c>
      <c r="I173" s="3">
        <f t="shared" si="43"/>
        <v>0.1814377295639312</v>
      </c>
      <c r="J173" s="3">
        <f t="shared" si="47"/>
        <v>0.24903483905285267</v>
      </c>
    </row>
    <row r="174" spans="1:10" x14ac:dyDescent="0.3">
      <c r="A174" s="7">
        <v>45778</v>
      </c>
      <c r="B174" s="5">
        <v>1653032000</v>
      </c>
      <c r="C174" s="1">
        <f t="shared" si="40"/>
        <v>1747640000</v>
      </c>
      <c r="D174" s="1">
        <f t="shared" si="44"/>
        <v>1953596726.1666667</v>
      </c>
      <c r="E174" s="1">
        <f t="shared" si="41"/>
        <v>94608000</v>
      </c>
      <c r="F174" s="1">
        <f t="shared" si="45"/>
        <v>300564726.16666675</v>
      </c>
      <c r="G174" s="2">
        <f t="shared" si="42"/>
        <v>8950673664000000</v>
      </c>
      <c r="H174" s="2">
        <f t="shared" si="46"/>
        <v>9.033915461564336E+16</v>
      </c>
      <c r="I174" s="3">
        <f t="shared" si="43"/>
        <v>5.7233011823122598E-2</v>
      </c>
      <c r="J174" s="3">
        <f t="shared" si="47"/>
        <v>0.18182632046243918</v>
      </c>
    </row>
    <row r="175" spans="1:10" x14ac:dyDescent="0.3">
      <c r="A175" s="7">
        <v>45809</v>
      </c>
      <c r="B175" s="5">
        <v>1889049000</v>
      </c>
      <c r="C175" s="1">
        <f t="shared" si="40"/>
        <v>1693347666.6666667</v>
      </c>
      <c r="D175" s="1">
        <f t="shared" si="44"/>
        <v>1884090101.8333333</v>
      </c>
      <c r="E175" s="1">
        <f t="shared" si="41"/>
        <v>195701333.33333325</v>
      </c>
      <c r="F175" s="1">
        <f t="shared" si="45"/>
        <v>4958898.1666667461</v>
      </c>
      <c r="G175" s="2">
        <f t="shared" si="42"/>
        <v>3.8299011868444416E+16</v>
      </c>
      <c r="H175" s="2">
        <f t="shared" si="46"/>
        <v>24590671027370.816</v>
      </c>
      <c r="I175" s="3">
        <f t="shared" si="43"/>
        <v>0.10359780679767082</v>
      </c>
      <c r="J175" s="3">
        <f t="shared" si="47"/>
        <v>2.6250765155730457E-3</v>
      </c>
    </row>
    <row r="176" spans="1:10" x14ac:dyDescent="0.3">
      <c r="A176" s="7">
        <v>45839</v>
      </c>
      <c r="B176" s="5">
        <v>2098073000</v>
      </c>
      <c r="C176" s="1">
        <f t="shared" si="40"/>
        <v>1731526666.6666667</v>
      </c>
      <c r="D176" s="1">
        <f t="shared" si="44"/>
        <v>1841925666.6666667</v>
      </c>
      <c r="E176" s="1">
        <f t="shared" si="41"/>
        <v>366546333.33333325</v>
      </c>
      <c r="F176" s="1">
        <f t="shared" si="45"/>
        <v>256147333.33333325</v>
      </c>
      <c r="G176" s="2">
        <f t="shared" si="42"/>
        <v>1.3435621448011106E+17</v>
      </c>
      <c r="H176" s="2">
        <f t="shared" si="46"/>
        <v>6.5611456373777736E+16</v>
      </c>
      <c r="I176" s="3">
        <f t="shared" si="43"/>
        <v>0.17470618674056301</v>
      </c>
      <c r="J176" s="3">
        <f t="shared" si="47"/>
        <v>0.12208694994565644</v>
      </c>
    </row>
    <row r="177" spans="1:10" x14ac:dyDescent="0.3">
      <c r="A177" s="7">
        <v>45870</v>
      </c>
      <c r="B177" s="5">
        <v>1935223000</v>
      </c>
      <c r="C177" s="1">
        <f t="shared" si="40"/>
        <v>1880051333.3333333</v>
      </c>
      <c r="D177" s="1">
        <f t="shared" si="44"/>
        <v>1813845666.6666667</v>
      </c>
      <c r="E177" s="1">
        <f t="shared" si="41"/>
        <v>55171666.666666746</v>
      </c>
      <c r="F177" s="1">
        <f t="shared" si="45"/>
        <v>121377333.33333325</v>
      </c>
      <c r="G177" s="2">
        <f t="shared" si="42"/>
        <v>3043912802777786.5</v>
      </c>
      <c r="H177" s="2">
        <f t="shared" si="46"/>
        <v>1.4732457047111092E+16</v>
      </c>
      <c r="I177" s="3">
        <f t="shared" si="43"/>
        <v>2.8509203676613366E-2</v>
      </c>
      <c r="J177" s="3">
        <f t="shared" si="47"/>
        <v>6.2720075843111234E-2</v>
      </c>
    </row>
    <row r="178" spans="1:10" x14ac:dyDescent="0.3">
      <c r="A178" s="7">
        <v>45901</v>
      </c>
      <c r="B178" s="5">
        <v>1773970000</v>
      </c>
      <c r="C178" s="1">
        <f t="shared" si="40"/>
        <v>1974115000</v>
      </c>
      <c r="D178" s="1">
        <f t="shared" si="44"/>
        <v>1833731333.3333333</v>
      </c>
      <c r="E178" s="1">
        <f t="shared" si="41"/>
        <v>200145000</v>
      </c>
      <c r="F178" s="1">
        <f t="shared" si="45"/>
        <v>59761333.333333254</v>
      </c>
      <c r="G178" s="2">
        <f t="shared" si="42"/>
        <v>4.0058021025E+16</v>
      </c>
      <c r="H178" s="2">
        <f t="shared" si="46"/>
        <v>3571416961777768.5</v>
      </c>
      <c r="I178" s="3">
        <f t="shared" si="43"/>
        <v>0.11282321572518138</v>
      </c>
      <c r="J178" s="3">
        <f t="shared" si="47"/>
        <v>3.3687905282126111E-2</v>
      </c>
    </row>
    <row r="179" spans="1:10" x14ac:dyDescent="0.3">
      <c r="A179" s="7">
        <v>45931</v>
      </c>
      <c r="B179" s="5">
        <v>1610179000</v>
      </c>
      <c r="C179" s="1">
        <f t="shared" si="40"/>
        <v>1935755333.3333333</v>
      </c>
      <c r="D179" s="1">
        <f t="shared" si="44"/>
        <v>1833641000</v>
      </c>
      <c r="E179" s="1">
        <f t="shared" si="41"/>
        <v>325576333.33333325</v>
      </c>
      <c r="F179" s="1">
        <f t="shared" si="45"/>
        <v>223462000</v>
      </c>
      <c r="G179" s="2">
        <f t="shared" si="42"/>
        <v>1.0599994882677773E+17</v>
      </c>
      <c r="H179" s="2">
        <f t="shared" si="46"/>
        <v>4.9935265444E+16</v>
      </c>
      <c r="I179" s="3">
        <f t="shared" si="43"/>
        <v>0.20219884455910384</v>
      </c>
      <c r="J179" s="3">
        <f t="shared" si="47"/>
        <v>0.13878084362049189</v>
      </c>
    </row>
    <row r="180" spans="1:10" x14ac:dyDescent="0.3">
      <c r="A180" s="7">
        <v>45962</v>
      </c>
      <c r="B180" s="5">
        <v>1643934000</v>
      </c>
      <c r="C180" s="1">
        <f t="shared" si="40"/>
        <v>1773124000</v>
      </c>
      <c r="D180" s="1">
        <f t="shared" si="44"/>
        <v>1826587666.6666667</v>
      </c>
      <c r="E180" s="1">
        <f t="shared" si="41"/>
        <v>129190000</v>
      </c>
      <c r="F180" s="1">
        <f t="shared" si="45"/>
        <v>182653666.66666675</v>
      </c>
      <c r="G180" s="2">
        <f t="shared" si="42"/>
        <v>1.66900561E+16</v>
      </c>
      <c r="H180" s="2">
        <f t="shared" si="46"/>
        <v>3.3362361946777808E+16</v>
      </c>
      <c r="I180" s="3">
        <f t="shared" si="43"/>
        <v>7.8585879968417219E-2</v>
      </c>
      <c r="J180" s="3">
        <f t="shared" si="47"/>
        <v>0.11110766409519283</v>
      </c>
    </row>
    <row r="181" spans="1:10" x14ac:dyDescent="0.3">
      <c r="A181" s="7">
        <v>45992</v>
      </c>
      <c r="B181" s="5">
        <v>1856222000</v>
      </c>
      <c r="C181" s="1">
        <f t="shared" si="40"/>
        <v>1676027666.6666667</v>
      </c>
      <c r="D181" s="1">
        <f t="shared" si="44"/>
        <v>1825071333.3333333</v>
      </c>
      <c r="E181" s="1">
        <f t="shared" si="41"/>
        <v>180194333.33333325</v>
      </c>
      <c r="F181" s="1">
        <f t="shared" si="45"/>
        <v>31150666.666666746</v>
      </c>
      <c r="G181" s="2">
        <f t="shared" si="42"/>
        <v>3.2469997765444416E+16</v>
      </c>
      <c r="H181" s="2">
        <f t="shared" si="46"/>
        <v>970364033777782.75</v>
      </c>
      <c r="I181" s="3">
        <f t="shared" si="43"/>
        <v>9.7075852636879234E-2</v>
      </c>
      <c r="J181" s="3">
        <f t="shared" si="47"/>
        <v>1.6781757067132457E-2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81"/>
  <sheetViews>
    <sheetView zoomScale="85" zoomScaleNormal="85" workbookViewId="0">
      <selection activeCell="P5" sqref="P5"/>
    </sheetView>
  </sheetViews>
  <sheetFormatPr defaultRowHeight="16.2" x14ac:dyDescent="0.3"/>
  <cols>
    <col min="2" max="6" width="12.77734375" style="21" bestFit="1" customWidth="1"/>
    <col min="7" max="7" width="16" style="21" customWidth="1"/>
    <col min="8" max="8" width="22.21875" style="21" customWidth="1"/>
    <col min="9" max="9" width="7.88671875" style="21" bestFit="1" customWidth="1"/>
    <col min="14" max="14" width="14" style="21" bestFit="1" customWidth="1"/>
    <col min="15" max="15" width="12.77734375" style="21" bestFit="1" customWidth="1"/>
  </cols>
  <sheetData>
    <row r="1" spans="1:16" x14ac:dyDescent="0.3">
      <c r="A1" s="6" t="s">
        <v>0</v>
      </c>
      <c r="B1" s="5" t="s">
        <v>1</v>
      </c>
      <c r="C1" s="4">
        <v>0.2</v>
      </c>
      <c r="D1" s="4">
        <v>0.4</v>
      </c>
      <c r="E1" s="4" t="s">
        <v>64</v>
      </c>
      <c r="F1" s="4" t="s">
        <v>65</v>
      </c>
      <c r="G1" s="4" t="s">
        <v>66</v>
      </c>
      <c r="H1" s="4" t="s">
        <v>67</v>
      </c>
      <c r="I1" s="4" t="s">
        <v>68</v>
      </c>
      <c r="J1" s="4" t="s">
        <v>69</v>
      </c>
      <c r="M1" s="4"/>
      <c r="N1" s="4" t="s">
        <v>21</v>
      </c>
      <c r="O1" s="4" t="s">
        <v>22</v>
      </c>
      <c r="P1" s="4" t="s">
        <v>23</v>
      </c>
    </row>
    <row r="2" spans="1:16" x14ac:dyDescent="0.3">
      <c r="A2" s="7">
        <v>40544</v>
      </c>
      <c r="B2" s="5">
        <v>530164083.30000001</v>
      </c>
      <c r="C2" s="5">
        <v>530164083.30000001</v>
      </c>
      <c r="D2" s="5">
        <v>530164083.30000001</v>
      </c>
      <c r="E2" s="1">
        <f t="shared" ref="E2:E33" si="0">ABS(B2-C2)</f>
        <v>0</v>
      </c>
      <c r="F2" s="1">
        <f t="shared" ref="F2:F33" si="1">ABS(B2-D2)</f>
        <v>0</v>
      </c>
      <c r="G2" s="2">
        <f t="shared" ref="G2:G33" si="2">(B2-C2)^2</f>
        <v>0</v>
      </c>
      <c r="H2" s="2">
        <f t="shared" ref="H2:H33" si="3">(B2-D2)^2</f>
        <v>0</v>
      </c>
      <c r="I2" s="3">
        <f t="shared" ref="I2:I33" si="4">E2/B2</f>
        <v>0</v>
      </c>
      <c r="J2" s="3">
        <f t="shared" ref="J2:J33" si="5">F2/B2</f>
        <v>0</v>
      </c>
      <c r="M2" s="8" t="s">
        <v>62</v>
      </c>
      <c r="N2" s="9">
        <f>(AVERAGE(G3:G181))^0.5</f>
        <v>410757567.55813295</v>
      </c>
      <c r="O2" s="1">
        <f>AVERAGE(E3:E181)</f>
        <v>237391063.59900272</v>
      </c>
      <c r="P2" s="3">
        <f>AVERAGE(I3:I181)</f>
        <v>0.14056996470272445</v>
      </c>
    </row>
    <row r="3" spans="1:16" x14ac:dyDescent="0.3">
      <c r="A3" s="7">
        <v>40575</v>
      </c>
      <c r="B3" s="5">
        <v>442050146.30000001</v>
      </c>
      <c r="C3" s="1">
        <f t="shared" ref="C3:C34" si="6">C$1*$B2+(1-C$1)*C2</f>
        <v>530164083.30000007</v>
      </c>
      <c r="D3" s="1">
        <f t="shared" ref="D3:D34" si="7">D$1*$B2+(1-D$1)*D2</f>
        <v>530164083.30000007</v>
      </c>
      <c r="E3" s="1">
        <f t="shared" si="0"/>
        <v>88113937.00000006</v>
      </c>
      <c r="F3" s="1">
        <f t="shared" si="1"/>
        <v>88113937.00000006</v>
      </c>
      <c r="G3" s="2">
        <f t="shared" si="2"/>
        <v>7764065893639980</v>
      </c>
      <c r="H3" s="2">
        <f t="shared" si="3"/>
        <v>7764065893639980</v>
      </c>
      <c r="I3" s="3">
        <f t="shared" si="4"/>
        <v>0.1993301840017965</v>
      </c>
      <c r="J3" s="3">
        <f t="shared" si="5"/>
        <v>0.1993301840017965</v>
      </c>
      <c r="M3" s="8" t="s">
        <v>63</v>
      </c>
      <c r="N3" s="9">
        <f>(AVERAGE(H3:H181))^0.5</f>
        <v>274551119.44621259</v>
      </c>
      <c r="O3" s="1">
        <f>AVERAGE(F3:F181)</f>
        <v>160575135.46055987</v>
      </c>
      <c r="P3" s="3">
        <f>AVERAGE(J3:J181)</f>
        <v>9.8463542760245215E-2</v>
      </c>
    </row>
    <row r="4" spans="1:16" x14ac:dyDescent="0.3">
      <c r="A4" s="7">
        <v>40603</v>
      </c>
      <c r="B4" s="5">
        <v>458910901.10000002</v>
      </c>
      <c r="C4" s="1">
        <f t="shared" si="6"/>
        <v>512541295.9000001</v>
      </c>
      <c r="D4" s="1">
        <f t="shared" si="7"/>
        <v>494918508.5</v>
      </c>
      <c r="E4" s="1">
        <f t="shared" si="0"/>
        <v>53630394.800000072</v>
      </c>
      <c r="F4" s="1">
        <f t="shared" si="1"/>
        <v>36007607.399999976</v>
      </c>
      <c r="G4" s="2">
        <f t="shared" si="2"/>
        <v>2876219246403874.5</v>
      </c>
      <c r="H4" s="2">
        <f t="shared" si="3"/>
        <v>1296547790672533</v>
      </c>
      <c r="I4" s="3">
        <f t="shared" si="4"/>
        <v>0.11686450391884158</v>
      </c>
      <c r="J4" s="3">
        <f t="shared" si="5"/>
        <v>7.84631773045497E-2</v>
      </c>
    </row>
    <row r="5" spans="1:16" x14ac:dyDescent="0.3">
      <c r="A5" s="7">
        <v>40634</v>
      </c>
      <c r="B5" s="5">
        <v>521655176</v>
      </c>
      <c r="C5" s="1">
        <f t="shared" si="6"/>
        <v>501815216.94000012</v>
      </c>
      <c r="D5" s="1">
        <f t="shared" si="7"/>
        <v>480515465.53999996</v>
      </c>
      <c r="E5" s="1">
        <f t="shared" si="0"/>
        <v>19839959.059999883</v>
      </c>
      <c r="F5" s="1">
        <f t="shared" si="1"/>
        <v>41139710.460000038</v>
      </c>
      <c r="G5" s="2">
        <f t="shared" si="2"/>
        <v>393623975502471.44</v>
      </c>
      <c r="H5" s="2">
        <f t="shared" si="3"/>
        <v>1692475776732636.5</v>
      </c>
      <c r="I5" s="3">
        <f t="shared" si="4"/>
        <v>3.8032708142820927E-2</v>
      </c>
      <c r="J5" s="3">
        <f t="shared" si="5"/>
        <v>7.8863801899667227E-2</v>
      </c>
    </row>
    <row r="6" spans="1:16" x14ac:dyDescent="0.3">
      <c r="A6" s="7">
        <v>40664</v>
      </c>
      <c r="B6" s="5">
        <v>521870479.60000002</v>
      </c>
      <c r="C6" s="1">
        <f t="shared" si="6"/>
        <v>505783208.75200009</v>
      </c>
      <c r="D6" s="1">
        <f t="shared" si="7"/>
        <v>496971349.72399998</v>
      </c>
      <c r="E6" s="1">
        <f t="shared" si="0"/>
        <v>16087270.84799993</v>
      </c>
      <c r="F6" s="1">
        <f t="shared" si="1"/>
        <v>24899129.876000047</v>
      </c>
      <c r="G6" s="2">
        <f t="shared" si="2"/>
        <v>258800283336908.41</v>
      </c>
      <c r="H6" s="2">
        <f t="shared" si="3"/>
        <v>619966668581918.13</v>
      </c>
      <c r="I6" s="3">
        <f t="shared" si="4"/>
        <v>3.0826175223266892E-2</v>
      </c>
      <c r="J6" s="3">
        <f t="shared" si="5"/>
        <v>4.7711320814859223E-2</v>
      </c>
    </row>
    <row r="7" spans="1:16" x14ac:dyDescent="0.3">
      <c r="A7" s="7">
        <v>40695</v>
      </c>
      <c r="B7" s="5">
        <v>530635299.39999998</v>
      </c>
      <c r="C7" s="1">
        <f t="shared" si="6"/>
        <v>509000662.9216001</v>
      </c>
      <c r="D7" s="1">
        <f t="shared" si="7"/>
        <v>506931001.67440003</v>
      </c>
      <c r="E7" s="1">
        <f t="shared" si="0"/>
        <v>21634636.478399873</v>
      </c>
      <c r="F7" s="1">
        <f t="shared" si="1"/>
        <v>23704297.725599945</v>
      </c>
      <c r="G7" s="2">
        <f t="shared" si="2"/>
        <v>468057495552510.44</v>
      </c>
      <c r="H7" s="2">
        <f t="shared" si="3"/>
        <v>561893730663882.69</v>
      </c>
      <c r="I7" s="3">
        <f t="shared" si="4"/>
        <v>4.0771197285334376E-2</v>
      </c>
      <c r="J7" s="3">
        <f t="shared" si="5"/>
        <v>4.4671543247128249E-2</v>
      </c>
    </row>
    <row r="8" spans="1:16" x14ac:dyDescent="0.3">
      <c r="A8" s="7">
        <v>40725</v>
      </c>
      <c r="B8" s="5">
        <v>526166118</v>
      </c>
      <c r="C8" s="1">
        <f t="shared" si="6"/>
        <v>513327590.21728009</v>
      </c>
      <c r="D8" s="1">
        <f t="shared" si="7"/>
        <v>516412720.76463997</v>
      </c>
      <c r="E8" s="1">
        <f t="shared" si="0"/>
        <v>12838527.78271991</v>
      </c>
      <c r="F8" s="1">
        <f t="shared" si="1"/>
        <v>9753397.2353600264</v>
      </c>
      <c r="G8" s="2">
        <f t="shared" si="2"/>
        <v>164827795627671</v>
      </c>
      <c r="H8" s="2">
        <f t="shared" si="3"/>
        <v>95128757630728.609</v>
      </c>
      <c r="I8" s="3">
        <f t="shared" si="4"/>
        <v>2.4400141596954576E-2</v>
      </c>
      <c r="J8" s="3">
        <f t="shared" si="5"/>
        <v>1.8536726143510492E-2</v>
      </c>
    </row>
    <row r="9" spans="1:16" x14ac:dyDescent="0.3">
      <c r="A9" s="7">
        <v>40756</v>
      </c>
      <c r="B9" s="5">
        <v>520844989.30000001</v>
      </c>
      <c r="C9" s="1">
        <f t="shared" si="6"/>
        <v>515895295.7738241</v>
      </c>
      <c r="D9" s="1">
        <f t="shared" si="7"/>
        <v>520314079.65878403</v>
      </c>
      <c r="E9" s="1">
        <f t="shared" si="0"/>
        <v>4949693.5261759162</v>
      </c>
      <c r="F9" s="1">
        <f t="shared" si="1"/>
        <v>530909.64121598005</v>
      </c>
      <c r="G9" s="2">
        <f t="shared" si="2"/>
        <v>24499466003067.773</v>
      </c>
      <c r="H9" s="2">
        <f t="shared" si="3"/>
        <v>281865047136.08069</v>
      </c>
      <c r="I9" s="3">
        <f t="shared" si="4"/>
        <v>9.5031988938362542E-3</v>
      </c>
      <c r="J9" s="3">
        <f t="shared" si="5"/>
        <v>1.0193236992248052E-3</v>
      </c>
    </row>
    <row r="10" spans="1:16" x14ac:dyDescent="0.3">
      <c r="A10" s="7">
        <v>40787</v>
      </c>
      <c r="B10" s="5">
        <v>484694267.89999998</v>
      </c>
      <c r="C10" s="1">
        <f t="shared" si="6"/>
        <v>516885234.47905934</v>
      </c>
      <c r="D10" s="1">
        <f t="shared" si="7"/>
        <v>520526443.51527041</v>
      </c>
      <c r="E10" s="1">
        <f t="shared" si="0"/>
        <v>32190966.579059362</v>
      </c>
      <c r="F10" s="1">
        <f t="shared" si="1"/>
        <v>35832175.615270436</v>
      </c>
      <c r="G10" s="2">
        <f t="shared" si="2"/>
        <v>1036258329294116.9</v>
      </c>
      <c r="H10" s="2">
        <f t="shared" si="3"/>
        <v>1283944809323581.3</v>
      </c>
      <c r="I10" s="3">
        <f t="shared" si="4"/>
        <v>6.6414993349376408E-2</v>
      </c>
      <c r="J10" s="3">
        <f t="shared" si="5"/>
        <v>7.3927376468712794E-2</v>
      </c>
    </row>
    <row r="11" spans="1:16" x14ac:dyDescent="0.3">
      <c r="A11" s="7">
        <v>40817</v>
      </c>
      <c r="B11" s="5">
        <v>494560586.5</v>
      </c>
      <c r="C11" s="1">
        <f t="shared" si="6"/>
        <v>510447041.16324747</v>
      </c>
      <c r="D11" s="1">
        <f t="shared" si="7"/>
        <v>506193573.26916218</v>
      </c>
      <c r="E11" s="1">
        <f t="shared" si="0"/>
        <v>15886454.663247466</v>
      </c>
      <c r="F11" s="1">
        <f t="shared" si="1"/>
        <v>11632986.769162178</v>
      </c>
      <c r="G11" s="2">
        <f t="shared" si="2"/>
        <v>252379441767417.16</v>
      </c>
      <c r="H11" s="2">
        <f t="shared" si="3"/>
        <v>135326381171502.3</v>
      </c>
      <c r="I11" s="3">
        <f t="shared" si="4"/>
        <v>3.2122362955923633E-2</v>
      </c>
      <c r="J11" s="3">
        <f t="shared" si="5"/>
        <v>2.3521863825600623E-2</v>
      </c>
    </row>
    <row r="12" spans="1:16" x14ac:dyDescent="0.3">
      <c r="A12" s="7">
        <v>40848</v>
      </c>
      <c r="B12" s="5">
        <v>481736591.5</v>
      </c>
      <c r="C12" s="1">
        <f t="shared" si="6"/>
        <v>507269750.23059803</v>
      </c>
      <c r="D12" s="1">
        <f t="shared" si="7"/>
        <v>501540378.56149733</v>
      </c>
      <c r="E12" s="1">
        <f t="shared" si="0"/>
        <v>25533158.730598032</v>
      </c>
      <c r="F12" s="1">
        <f t="shared" si="1"/>
        <v>19803787.061497331</v>
      </c>
      <c r="G12" s="2">
        <f t="shared" si="2"/>
        <v>651942194761914.5</v>
      </c>
      <c r="H12" s="2">
        <f t="shared" si="3"/>
        <v>392189981977129.06</v>
      </c>
      <c r="I12" s="3">
        <f t="shared" si="4"/>
        <v>5.300232363726938E-2</v>
      </c>
      <c r="J12" s="3">
        <f t="shared" si="5"/>
        <v>4.1109160920978806E-2</v>
      </c>
    </row>
    <row r="13" spans="1:16" x14ac:dyDescent="0.3">
      <c r="A13" s="7">
        <v>40878</v>
      </c>
      <c r="B13" s="5">
        <v>465883225.39999998</v>
      </c>
      <c r="C13" s="1">
        <f t="shared" si="6"/>
        <v>502163118.48447847</v>
      </c>
      <c r="D13" s="1">
        <f t="shared" si="7"/>
        <v>493618863.73689842</v>
      </c>
      <c r="E13" s="1">
        <f t="shared" si="0"/>
        <v>36279893.084478498</v>
      </c>
      <c r="F13" s="1">
        <f t="shared" si="1"/>
        <v>27735638.336898446</v>
      </c>
      <c r="G13" s="2">
        <f t="shared" si="2"/>
        <v>1316230642221190.8</v>
      </c>
      <c r="H13" s="2">
        <f t="shared" si="3"/>
        <v>769265633955230.75</v>
      </c>
      <c r="I13" s="3">
        <f t="shared" si="4"/>
        <v>7.7873362049747888E-2</v>
      </c>
      <c r="J13" s="3">
        <f t="shared" si="5"/>
        <v>5.9533455648859361E-2</v>
      </c>
    </row>
    <row r="14" spans="1:16" x14ac:dyDescent="0.3">
      <c r="A14" s="7">
        <v>40909</v>
      </c>
      <c r="B14" s="5">
        <v>689942417.10000002</v>
      </c>
      <c r="C14" s="1">
        <f t="shared" si="6"/>
        <v>494907139.8675828</v>
      </c>
      <c r="D14" s="1">
        <f t="shared" si="7"/>
        <v>482524608.40213907</v>
      </c>
      <c r="E14" s="1">
        <f t="shared" si="0"/>
        <v>195035277.23241723</v>
      </c>
      <c r="F14" s="1">
        <f t="shared" si="1"/>
        <v>207417808.69786096</v>
      </c>
      <c r="G14" s="2">
        <f t="shared" si="2"/>
        <v>3.8038759365125848E+16</v>
      </c>
      <c r="H14" s="2">
        <f t="shared" si="3"/>
        <v>4.3022147365022448E+16</v>
      </c>
      <c r="I14" s="3">
        <f t="shared" si="4"/>
        <v>0.28268341299002764</v>
      </c>
      <c r="J14" s="3">
        <f t="shared" si="5"/>
        <v>0.30063060852192525</v>
      </c>
    </row>
    <row r="15" spans="1:16" x14ac:dyDescent="0.3">
      <c r="A15" s="7">
        <v>40940</v>
      </c>
      <c r="B15" s="5">
        <v>644837026</v>
      </c>
      <c r="C15" s="1">
        <f t="shared" si="6"/>
        <v>533914195.31406629</v>
      </c>
      <c r="D15" s="1">
        <f t="shared" si="7"/>
        <v>565491731.88128352</v>
      </c>
      <c r="E15" s="1">
        <f t="shared" si="0"/>
        <v>110922830.68593371</v>
      </c>
      <c r="F15" s="1">
        <f t="shared" si="1"/>
        <v>79345294.118716478</v>
      </c>
      <c r="G15" s="2">
        <f t="shared" si="2"/>
        <v>1.2303874367380316E+16</v>
      </c>
      <c r="H15" s="2">
        <f t="shared" si="3"/>
        <v>6295675698785624</v>
      </c>
      <c r="I15" s="3">
        <f t="shared" si="4"/>
        <v>0.17201684489800639</v>
      </c>
      <c r="J15" s="3">
        <f t="shared" si="5"/>
        <v>0.12304705052516088</v>
      </c>
    </row>
    <row r="16" spans="1:16" x14ac:dyDescent="0.3">
      <c r="A16" s="7">
        <v>40969</v>
      </c>
      <c r="B16" s="5">
        <v>721740438.60000002</v>
      </c>
      <c r="C16" s="1">
        <f t="shared" si="6"/>
        <v>556098761.45125306</v>
      </c>
      <c r="D16" s="1">
        <f t="shared" si="7"/>
        <v>597229849.52877009</v>
      </c>
      <c r="E16" s="1">
        <f t="shared" si="0"/>
        <v>165641677.14874697</v>
      </c>
      <c r="F16" s="1">
        <f t="shared" si="1"/>
        <v>124510589.07122993</v>
      </c>
      <c r="G16" s="2">
        <f t="shared" si="2"/>
        <v>2.7437165208649724E+16</v>
      </c>
      <c r="H16" s="2">
        <f t="shared" si="3"/>
        <v>1.5502886790864684E+16</v>
      </c>
      <c r="I16" s="3">
        <f t="shared" si="4"/>
        <v>0.22950311260104994</v>
      </c>
      <c r="J16" s="3">
        <f t="shared" si="5"/>
        <v>0.1725143589193229</v>
      </c>
    </row>
    <row r="17" spans="1:10" x14ac:dyDescent="0.3">
      <c r="A17" s="7">
        <v>41000</v>
      </c>
      <c r="B17" s="5">
        <v>840048569.70000005</v>
      </c>
      <c r="C17" s="1">
        <f t="shared" si="6"/>
        <v>589227096.88100243</v>
      </c>
      <c r="D17" s="1">
        <f t="shared" si="7"/>
        <v>647034085.15726209</v>
      </c>
      <c r="E17" s="1">
        <f t="shared" si="0"/>
        <v>250821472.81899762</v>
      </c>
      <c r="F17" s="1">
        <f t="shared" si="1"/>
        <v>193014484.54273796</v>
      </c>
      <c r="G17" s="2">
        <f t="shared" si="2"/>
        <v>6.291141122709116E+16</v>
      </c>
      <c r="H17" s="2">
        <f t="shared" si="3"/>
        <v>3.7254591243298832E+16</v>
      </c>
      <c r="I17" s="3">
        <f t="shared" si="4"/>
        <v>0.2985797272514511</v>
      </c>
      <c r="J17" s="3">
        <f t="shared" si="5"/>
        <v>0.22976586295679036</v>
      </c>
    </row>
    <row r="18" spans="1:10" x14ac:dyDescent="0.3">
      <c r="A18" s="7">
        <v>41030</v>
      </c>
      <c r="B18" s="5">
        <v>906526843.5</v>
      </c>
      <c r="C18" s="1">
        <f t="shared" si="6"/>
        <v>639391391.44480205</v>
      </c>
      <c r="D18" s="1">
        <f t="shared" si="7"/>
        <v>724239878.97435737</v>
      </c>
      <c r="E18" s="1">
        <f t="shared" si="0"/>
        <v>267135452.05519795</v>
      </c>
      <c r="F18" s="1">
        <f t="shared" si="1"/>
        <v>182286964.52564263</v>
      </c>
      <c r="G18" s="2">
        <f t="shared" si="2"/>
        <v>7.1361349744734968E+16</v>
      </c>
      <c r="H18" s="2">
        <f t="shared" si="3"/>
        <v>3.3228537435972896E+16</v>
      </c>
      <c r="I18" s="3">
        <f t="shared" si="4"/>
        <v>0.29468013437287471</v>
      </c>
      <c r="J18" s="3">
        <f t="shared" si="5"/>
        <v>0.20108280944208204</v>
      </c>
    </row>
    <row r="19" spans="1:10" x14ac:dyDescent="0.3">
      <c r="A19" s="7">
        <v>41061</v>
      </c>
      <c r="B19" s="5">
        <v>943162982.5</v>
      </c>
      <c r="C19" s="1">
        <f t="shared" si="6"/>
        <v>692818481.85584164</v>
      </c>
      <c r="D19" s="1">
        <f t="shared" si="7"/>
        <v>797154664.78461444</v>
      </c>
      <c r="E19" s="1">
        <f t="shared" si="0"/>
        <v>250344500.64415836</v>
      </c>
      <c r="F19" s="1">
        <f t="shared" si="1"/>
        <v>146008317.71538556</v>
      </c>
      <c r="G19" s="2">
        <f t="shared" si="2"/>
        <v>6.2672369002773008E+16</v>
      </c>
      <c r="H19" s="2">
        <f t="shared" si="3"/>
        <v>2.1318428842076972E+16</v>
      </c>
      <c r="I19" s="3">
        <f t="shared" si="4"/>
        <v>0.26543079540778985</v>
      </c>
      <c r="J19" s="3">
        <f t="shared" si="5"/>
        <v>0.15480709105903184</v>
      </c>
    </row>
    <row r="20" spans="1:10" x14ac:dyDescent="0.3">
      <c r="A20" s="7">
        <v>41091</v>
      </c>
      <c r="B20" s="5">
        <v>947372879.70000005</v>
      </c>
      <c r="C20" s="1">
        <f t="shared" si="6"/>
        <v>742887381.98467338</v>
      </c>
      <c r="D20" s="1">
        <f t="shared" si="7"/>
        <v>855557991.87076867</v>
      </c>
      <c r="E20" s="1">
        <f t="shared" si="0"/>
        <v>204485497.71532667</v>
      </c>
      <c r="F20" s="1">
        <f t="shared" si="1"/>
        <v>91814887.829231381</v>
      </c>
      <c r="G20" s="2">
        <f t="shared" si="2"/>
        <v>4.1814318775884864E+16</v>
      </c>
      <c r="H20" s="2">
        <f t="shared" si="3"/>
        <v>8429973627094341</v>
      </c>
      <c r="I20" s="3">
        <f t="shared" si="4"/>
        <v>0.21584478730284118</v>
      </c>
      <c r="J20" s="3">
        <f t="shared" si="5"/>
        <v>9.691525881372702E-2</v>
      </c>
    </row>
    <row r="21" spans="1:10" x14ac:dyDescent="0.3">
      <c r="A21" s="7">
        <v>41122</v>
      </c>
      <c r="B21" s="5">
        <v>969690342.79999995</v>
      </c>
      <c r="C21" s="1">
        <f t="shared" si="6"/>
        <v>783784481.52773881</v>
      </c>
      <c r="D21" s="1">
        <f t="shared" si="7"/>
        <v>892283947.00246119</v>
      </c>
      <c r="E21" s="1">
        <f t="shared" si="0"/>
        <v>185905861.27226114</v>
      </c>
      <c r="F21" s="1">
        <f t="shared" si="1"/>
        <v>77406395.797538757</v>
      </c>
      <c r="G21" s="2">
        <f t="shared" si="2"/>
        <v>3.4560989255381204E+16</v>
      </c>
      <c r="H21" s="2">
        <f t="shared" si="3"/>
        <v>5991750110365226</v>
      </c>
      <c r="I21" s="3">
        <f t="shared" si="4"/>
        <v>0.19171672962675312</v>
      </c>
      <c r="J21" s="3">
        <f t="shared" si="5"/>
        <v>7.9825891195354451E-2</v>
      </c>
    </row>
    <row r="22" spans="1:10" x14ac:dyDescent="0.3">
      <c r="A22" s="7">
        <v>41153</v>
      </c>
      <c r="B22" s="5">
        <v>955855309.39999998</v>
      </c>
      <c r="C22" s="1">
        <f t="shared" si="6"/>
        <v>820965653.78219104</v>
      </c>
      <c r="D22" s="1">
        <f t="shared" si="7"/>
        <v>923246505.3214767</v>
      </c>
      <c r="E22" s="1">
        <f t="shared" si="0"/>
        <v>134889655.61780894</v>
      </c>
      <c r="F22" s="1">
        <f t="shared" si="1"/>
        <v>32608804.078523278</v>
      </c>
      <c r="G22" s="2">
        <f t="shared" si="2"/>
        <v>1.8195219192691096E+16</v>
      </c>
      <c r="H22" s="2">
        <f t="shared" si="3"/>
        <v>1063334103431516.4</v>
      </c>
      <c r="I22" s="3">
        <f t="shared" si="4"/>
        <v>0.14111932453718393</v>
      </c>
      <c r="J22" s="3">
        <f t="shared" si="5"/>
        <v>3.4114790970813512E-2</v>
      </c>
    </row>
    <row r="23" spans="1:10" x14ac:dyDescent="0.3">
      <c r="A23" s="7">
        <v>41183</v>
      </c>
      <c r="B23" s="5">
        <v>909802011.20000005</v>
      </c>
      <c r="C23" s="1">
        <f t="shared" si="6"/>
        <v>847943584.9057529</v>
      </c>
      <c r="D23" s="1">
        <f t="shared" si="7"/>
        <v>936290026.95288599</v>
      </c>
      <c r="E23" s="1">
        <f t="shared" si="0"/>
        <v>61858426.29424715</v>
      </c>
      <c r="F23" s="1">
        <f t="shared" si="1"/>
        <v>26488015.752885938</v>
      </c>
      <c r="G23" s="2">
        <f t="shared" si="2"/>
        <v>3826464903600807</v>
      </c>
      <c r="H23" s="2">
        <f t="shared" si="3"/>
        <v>701614978525133.63</v>
      </c>
      <c r="I23" s="3">
        <f t="shared" si="4"/>
        <v>6.7991085458975684E-2</v>
      </c>
      <c r="J23" s="3">
        <f t="shared" si="5"/>
        <v>2.9114043964300632E-2</v>
      </c>
    </row>
    <row r="24" spans="1:10" x14ac:dyDescent="0.3">
      <c r="A24" s="7">
        <v>41214</v>
      </c>
      <c r="B24" s="5">
        <v>860151481.89999998</v>
      </c>
      <c r="C24" s="1">
        <f t="shared" si="6"/>
        <v>860315270.1646024</v>
      </c>
      <c r="D24" s="1">
        <f t="shared" si="7"/>
        <v>925694820.65173161</v>
      </c>
      <c r="E24" s="1">
        <f t="shared" si="0"/>
        <v>163788.26460242271</v>
      </c>
      <c r="F24" s="1">
        <f t="shared" si="1"/>
        <v>65543338.751731634</v>
      </c>
      <c r="G24" s="2">
        <f t="shared" si="2"/>
        <v>26826595621.473236</v>
      </c>
      <c r="H24" s="2">
        <f t="shared" si="3"/>
        <v>4295929254724245.5</v>
      </c>
      <c r="I24" s="3">
        <f t="shared" si="4"/>
        <v>1.9041792992163269E-4</v>
      </c>
      <c r="J24" s="3">
        <f t="shared" si="5"/>
        <v>7.6199762635939527E-2</v>
      </c>
    </row>
    <row r="25" spans="1:10" x14ac:dyDescent="0.3">
      <c r="A25" s="7">
        <v>41244</v>
      </c>
      <c r="B25" s="5">
        <v>859447165.10000002</v>
      </c>
      <c r="C25" s="1">
        <f t="shared" si="6"/>
        <v>860282512.51168191</v>
      </c>
      <c r="D25" s="1">
        <f t="shared" si="7"/>
        <v>899477485.15103889</v>
      </c>
      <c r="E25" s="1">
        <f t="shared" si="0"/>
        <v>835347.41168189049</v>
      </c>
      <c r="F25" s="1">
        <f t="shared" si="1"/>
        <v>40030320.051038861</v>
      </c>
      <c r="G25" s="2">
        <f t="shared" si="2"/>
        <v>697805298203.63379</v>
      </c>
      <c r="H25" s="2">
        <f t="shared" si="3"/>
        <v>1602426523388604</v>
      </c>
      <c r="I25" s="3">
        <f t="shared" si="4"/>
        <v>9.7195900528067314E-4</v>
      </c>
      <c r="J25" s="3">
        <f t="shared" si="5"/>
        <v>4.6576824820151894E-2</v>
      </c>
    </row>
    <row r="26" spans="1:10" x14ac:dyDescent="0.3">
      <c r="A26" s="7">
        <v>41275</v>
      </c>
      <c r="B26" s="5">
        <v>925917386.20000005</v>
      </c>
      <c r="C26" s="1">
        <f t="shared" si="6"/>
        <v>860115443.02934551</v>
      </c>
      <c r="D26" s="1">
        <f t="shared" si="7"/>
        <v>883465357.13062334</v>
      </c>
      <c r="E26" s="1">
        <f t="shared" si="0"/>
        <v>65801943.170654535</v>
      </c>
      <c r="F26" s="1">
        <f t="shared" si="1"/>
        <v>42452029.069376707</v>
      </c>
      <c r="G26" s="2">
        <f t="shared" si="2"/>
        <v>4329895725034049</v>
      </c>
      <c r="H26" s="2">
        <f t="shared" si="3"/>
        <v>1802174772107205</v>
      </c>
      <c r="I26" s="3">
        <f t="shared" si="4"/>
        <v>7.1066754066157242E-2</v>
      </c>
      <c r="J26" s="3">
        <f t="shared" si="5"/>
        <v>4.5848614252294626E-2</v>
      </c>
    </row>
    <row r="27" spans="1:10" x14ac:dyDescent="0.3">
      <c r="A27" s="7">
        <v>41306</v>
      </c>
      <c r="B27" s="5">
        <v>761347210.5</v>
      </c>
      <c r="C27" s="1">
        <f t="shared" si="6"/>
        <v>873275831.66347647</v>
      </c>
      <c r="D27" s="1">
        <f t="shared" si="7"/>
        <v>900446168.75837398</v>
      </c>
      <c r="E27" s="1">
        <f t="shared" si="0"/>
        <v>111928621.16347647</v>
      </c>
      <c r="F27" s="1">
        <f t="shared" si="1"/>
        <v>139098958.25837398</v>
      </c>
      <c r="G27" s="2">
        <f t="shared" si="2"/>
        <v>1.2528016235557032E+16</v>
      </c>
      <c r="H27" s="2">
        <f t="shared" si="3"/>
        <v>1.9348520188564864E+16</v>
      </c>
      <c r="I27" s="3">
        <f t="shared" si="4"/>
        <v>0.14701389802159978</v>
      </c>
      <c r="J27" s="3">
        <f t="shared" si="5"/>
        <v>0.18270108084723058</v>
      </c>
    </row>
    <row r="28" spans="1:10" x14ac:dyDescent="0.3">
      <c r="A28" s="7">
        <v>41334</v>
      </c>
      <c r="B28" s="5">
        <v>839943452.60000002</v>
      </c>
      <c r="C28" s="1">
        <f t="shared" si="6"/>
        <v>850890107.43078125</v>
      </c>
      <c r="D28" s="1">
        <f t="shared" si="7"/>
        <v>844806585.45502424</v>
      </c>
      <c r="E28" s="1">
        <f t="shared" si="0"/>
        <v>10946654.830781221</v>
      </c>
      <c r="F28" s="1">
        <f t="shared" si="1"/>
        <v>4863132.8550242186</v>
      </c>
      <c r="G28" s="2">
        <f t="shared" si="2"/>
        <v>119829251984265.84</v>
      </c>
      <c r="H28" s="2">
        <f t="shared" si="3"/>
        <v>23650061165616.008</v>
      </c>
      <c r="I28" s="3">
        <f t="shared" si="4"/>
        <v>1.3032609274941589E-2</v>
      </c>
      <c r="J28" s="3">
        <f t="shared" si="5"/>
        <v>5.7898336369795501E-3</v>
      </c>
    </row>
    <row r="29" spans="1:10" x14ac:dyDescent="0.3">
      <c r="A29" s="7">
        <v>41365</v>
      </c>
      <c r="B29" s="5">
        <v>865907095</v>
      </c>
      <c r="C29" s="1">
        <f t="shared" si="6"/>
        <v>848700776.464625</v>
      </c>
      <c r="D29" s="1">
        <f t="shared" si="7"/>
        <v>842861332.31301451</v>
      </c>
      <c r="E29" s="1">
        <f t="shared" si="0"/>
        <v>17206318.535374999</v>
      </c>
      <c r="F29" s="1">
        <f t="shared" si="1"/>
        <v>23045762.686985493</v>
      </c>
      <c r="G29" s="2">
        <f t="shared" si="2"/>
        <v>296057397540789.25</v>
      </c>
      <c r="H29" s="2">
        <f t="shared" si="3"/>
        <v>531107177824852.81</v>
      </c>
      <c r="I29" s="3">
        <f t="shared" si="4"/>
        <v>1.9870859858672249E-2</v>
      </c>
      <c r="J29" s="3">
        <f t="shared" si="5"/>
        <v>2.6614590433614003E-2</v>
      </c>
    </row>
    <row r="30" spans="1:10" x14ac:dyDescent="0.3">
      <c r="A30" s="7">
        <v>41395</v>
      </c>
      <c r="B30" s="5">
        <v>900888985.5</v>
      </c>
      <c r="C30" s="1">
        <f t="shared" si="6"/>
        <v>852142040.1717</v>
      </c>
      <c r="D30" s="1">
        <f t="shared" si="7"/>
        <v>852079637.38780868</v>
      </c>
      <c r="E30" s="1">
        <f t="shared" si="0"/>
        <v>48746945.328299999</v>
      </c>
      <c r="F30" s="1">
        <f t="shared" si="1"/>
        <v>48809348.112191319</v>
      </c>
      <c r="G30" s="2">
        <f t="shared" si="2"/>
        <v>2376264678840269</v>
      </c>
      <c r="H30" s="2">
        <f t="shared" si="3"/>
        <v>2382352463137074.5</v>
      </c>
      <c r="I30" s="3">
        <f t="shared" si="4"/>
        <v>5.4109824976098564E-2</v>
      </c>
      <c r="J30" s="3">
        <f t="shared" si="5"/>
        <v>5.4179092982363161E-2</v>
      </c>
    </row>
    <row r="31" spans="1:10" x14ac:dyDescent="0.3">
      <c r="A31" s="7">
        <v>41426</v>
      </c>
      <c r="B31" s="5">
        <v>947114792.79999995</v>
      </c>
      <c r="C31" s="1">
        <f t="shared" si="6"/>
        <v>861891429.23736012</v>
      </c>
      <c r="D31" s="1">
        <f t="shared" si="7"/>
        <v>871603376.63268518</v>
      </c>
      <c r="E31" s="1">
        <f t="shared" si="0"/>
        <v>85223363.562639832</v>
      </c>
      <c r="F31" s="1">
        <f t="shared" si="1"/>
        <v>75511416.167314768</v>
      </c>
      <c r="G31" s="2">
        <f t="shared" si="2"/>
        <v>7263021696929887</v>
      </c>
      <c r="H31" s="2">
        <f t="shared" si="3"/>
        <v>5701973971593406</v>
      </c>
      <c r="I31" s="3">
        <f t="shared" si="4"/>
        <v>8.9982084759430273E-2</v>
      </c>
      <c r="J31" s="3">
        <f t="shared" si="5"/>
        <v>7.9727839477701345E-2</v>
      </c>
    </row>
    <row r="32" spans="1:10" x14ac:dyDescent="0.3">
      <c r="A32" s="7">
        <v>41456</v>
      </c>
      <c r="B32" s="5">
        <v>884253253.89999998</v>
      </c>
      <c r="C32" s="1">
        <f t="shared" si="6"/>
        <v>878936101.94988823</v>
      </c>
      <c r="D32" s="1">
        <f t="shared" si="7"/>
        <v>901807943.09961104</v>
      </c>
      <c r="E32" s="1">
        <f t="shared" si="0"/>
        <v>5317151.9501117468</v>
      </c>
      <c r="F32" s="1">
        <f t="shared" si="1"/>
        <v>17554689.199611068</v>
      </c>
      <c r="G32" s="2">
        <f t="shared" si="2"/>
        <v>28272104860577.152</v>
      </c>
      <c r="H32" s="2">
        <f t="shared" si="3"/>
        <v>308167112894941.5</v>
      </c>
      <c r="I32" s="3">
        <f t="shared" si="4"/>
        <v>6.0131550849945332E-3</v>
      </c>
      <c r="J32" s="3">
        <f t="shared" si="5"/>
        <v>1.9852558214726482E-2</v>
      </c>
    </row>
    <row r="33" spans="1:10" x14ac:dyDescent="0.3">
      <c r="A33" s="7">
        <v>41487</v>
      </c>
      <c r="B33" s="5">
        <v>959370275.39999998</v>
      </c>
      <c r="C33" s="1">
        <f t="shared" si="6"/>
        <v>879999532.33991063</v>
      </c>
      <c r="D33" s="1">
        <f t="shared" si="7"/>
        <v>894786067.41976666</v>
      </c>
      <c r="E33" s="1">
        <f t="shared" si="0"/>
        <v>79370743.06008935</v>
      </c>
      <c r="F33" s="1">
        <f t="shared" si="1"/>
        <v>64584207.980233312</v>
      </c>
      <c r="G33" s="2">
        <f t="shared" si="2"/>
        <v>6299714853910722</v>
      </c>
      <c r="H33" s="2">
        <f t="shared" si="3"/>
        <v>4171119920434032</v>
      </c>
      <c r="I33" s="3">
        <f t="shared" si="4"/>
        <v>8.2732126578548101E-2</v>
      </c>
      <c r="J33" s="3">
        <f t="shared" si="5"/>
        <v>6.731937567411661E-2</v>
      </c>
    </row>
    <row r="34" spans="1:10" x14ac:dyDescent="0.3">
      <c r="A34" s="7">
        <v>41518</v>
      </c>
      <c r="B34" s="5">
        <v>953423947.39999998</v>
      </c>
      <c r="C34" s="1">
        <f t="shared" si="6"/>
        <v>895873680.95192862</v>
      </c>
      <c r="D34" s="1">
        <f t="shared" si="7"/>
        <v>920619750.61186004</v>
      </c>
      <c r="E34" s="1">
        <f t="shared" ref="E34:E65" si="8">ABS(B34-C34)</f>
        <v>57550266.448071361</v>
      </c>
      <c r="F34" s="1">
        <f t="shared" ref="F34:F65" si="9">ABS(B34-D34)</f>
        <v>32804196.788139939</v>
      </c>
      <c r="G34" s="2">
        <f t="shared" ref="G34:G65" si="10">(B34-C34)^2</f>
        <v>3312033168244008</v>
      </c>
      <c r="H34" s="2">
        <f t="shared" ref="H34:H65" si="11">(B34-D34)^2</f>
        <v>1076115326915010.8</v>
      </c>
      <c r="I34" s="3">
        <f t="shared" ref="I34:I65" si="12">E34/B34</f>
        <v>6.0361674997792658E-2</v>
      </c>
      <c r="J34" s="3">
        <f t="shared" ref="J34:J65" si="13">F34/B34</f>
        <v>3.4406726281207251E-2</v>
      </c>
    </row>
    <row r="35" spans="1:10" x14ac:dyDescent="0.3">
      <c r="A35" s="7">
        <v>41548</v>
      </c>
      <c r="B35" s="5">
        <v>845610436.70000005</v>
      </c>
      <c r="C35" s="1">
        <f t="shared" ref="C35:C66" si="14">C$1*$B34+(1-C$1)*C34</f>
        <v>907383734.24154294</v>
      </c>
      <c r="D35" s="1">
        <f t="shared" ref="D35:D66" si="15">D$1*$B34+(1-D$1)*D34</f>
        <v>933741429.32711601</v>
      </c>
      <c r="E35" s="1">
        <f t="shared" si="8"/>
        <v>61773297.541542888</v>
      </c>
      <c r="F35" s="1">
        <f t="shared" si="9"/>
        <v>88130992.627115965</v>
      </c>
      <c r="G35" s="2">
        <f t="shared" si="10"/>
        <v>3815940289155988.5</v>
      </c>
      <c r="H35" s="2">
        <f t="shared" si="11"/>
        <v>7767071861440769</v>
      </c>
      <c r="I35" s="3">
        <f t="shared" si="12"/>
        <v>7.3051720816755247E-2</v>
      </c>
      <c r="J35" s="3">
        <f t="shared" si="13"/>
        <v>0.1042217418354576</v>
      </c>
    </row>
    <row r="36" spans="1:10" x14ac:dyDescent="0.3">
      <c r="A36" s="7">
        <v>41579</v>
      </c>
      <c r="B36" s="5">
        <v>871151610.39999998</v>
      </c>
      <c r="C36" s="1">
        <f t="shared" si="14"/>
        <v>895029074.73323441</v>
      </c>
      <c r="D36" s="1">
        <f t="shared" si="15"/>
        <v>898489032.27626967</v>
      </c>
      <c r="E36" s="1">
        <f t="shared" si="8"/>
        <v>23877464.333234429</v>
      </c>
      <c r="F36" s="1">
        <f t="shared" si="9"/>
        <v>27337421.876269698</v>
      </c>
      <c r="G36" s="2">
        <f t="shared" si="10"/>
        <v>570133302984882.25</v>
      </c>
      <c r="H36" s="2">
        <f t="shared" si="11"/>
        <v>747334634841149.13</v>
      </c>
      <c r="I36" s="3">
        <f t="shared" si="12"/>
        <v>2.7409080174082209E-2</v>
      </c>
      <c r="J36" s="3">
        <f t="shared" si="13"/>
        <v>3.1380785560067306E-2</v>
      </c>
    </row>
    <row r="37" spans="1:10" x14ac:dyDescent="0.3">
      <c r="A37" s="7">
        <v>41609</v>
      </c>
      <c r="B37" s="5">
        <v>910706403.20000005</v>
      </c>
      <c r="C37" s="1">
        <f t="shared" si="14"/>
        <v>890253581.86658764</v>
      </c>
      <c r="D37" s="1">
        <f t="shared" si="15"/>
        <v>887554063.52576184</v>
      </c>
      <c r="E37" s="1">
        <f t="shared" si="8"/>
        <v>20452821.333412409</v>
      </c>
      <c r="F37" s="1">
        <f t="shared" si="9"/>
        <v>23152339.674238205</v>
      </c>
      <c r="G37" s="2">
        <f t="shared" si="10"/>
        <v>418317900496489.75</v>
      </c>
      <c r="H37" s="2">
        <f t="shared" si="11"/>
        <v>536030832391304.44</v>
      </c>
      <c r="I37" s="3">
        <f t="shared" si="12"/>
        <v>2.2458194278140779E-2</v>
      </c>
      <c r="J37" s="3">
        <f t="shared" si="13"/>
        <v>2.5422396935924171E-2</v>
      </c>
    </row>
    <row r="38" spans="1:10" x14ac:dyDescent="0.3">
      <c r="A38" s="7">
        <v>41640</v>
      </c>
      <c r="B38" s="5">
        <v>918238567.29999995</v>
      </c>
      <c r="C38" s="1">
        <f t="shared" si="14"/>
        <v>894344146.13327014</v>
      </c>
      <c r="D38" s="1">
        <f t="shared" si="15"/>
        <v>896814999.39545703</v>
      </c>
      <c r="E38" s="1">
        <f t="shared" si="8"/>
        <v>23894421.166729808</v>
      </c>
      <c r="F38" s="1">
        <f t="shared" si="9"/>
        <v>21423567.904542923</v>
      </c>
      <c r="G38" s="2">
        <f t="shared" si="10"/>
        <v>570943362893065.5</v>
      </c>
      <c r="H38" s="2">
        <f t="shared" si="11"/>
        <v>458969261760561.63</v>
      </c>
      <c r="I38" s="3">
        <f t="shared" si="12"/>
        <v>2.6022018697155425E-2</v>
      </c>
      <c r="J38" s="3">
        <f t="shared" si="13"/>
        <v>2.3331156703139847E-2</v>
      </c>
    </row>
    <row r="39" spans="1:10" x14ac:dyDescent="0.3">
      <c r="A39" s="7">
        <v>41671</v>
      </c>
      <c r="B39" s="5">
        <v>751231030.10000002</v>
      </c>
      <c r="C39" s="1">
        <f t="shared" si="14"/>
        <v>899123030.36661625</v>
      </c>
      <c r="D39" s="1">
        <f t="shared" si="15"/>
        <v>905384426.5572741</v>
      </c>
      <c r="E39" s="1">
        <f t="shared" si="8"/>
        <v>147892000.26661623</v>
      </c>
      <c r="F39" s="1">
        <f t="shared" si="9"/>
        <v>154153396.45727408</v>
      </c>
      <c r="G39" s="2">
        <f t="shared" si="10"/>
        <v>2.1872043742860812E+16</v>
      </c>
      <c r="H39" s="2">
        <f t="shared" si="11"/>
        <v>2.376326963931352E+16</v>
      </c>
      <c r="I39" s="3">
        <f t="shared" si="12"/>
        <v>0.1968662027271818</v>
      </c>
      <c r="J39" s="3">
        <f t="shared" si="13"/>
        <v>0.20520105038360031</v>
      </c>
    </row>
    <row r="40" spans="1:10" x14ac:dyDescent="0.3">
      <c r="A40" s="7">
        <v>41699</v>
      </c>
      <c r="B40" s="5">
        <v>877090455.20000005</v>
      </c>
      <c r="C40" s="1">
        <f t="shared" si="14"/>
        <v>869544630.31329298</v>
      </c>
      <c r="D40" s="1">
        <f t="shared" si="15"/>
        <v>843723067.97436452</v>
      </c>
      <c r="E40" s="1">
        <f t="shared" si="8"/>
        <v>7545824.8867070675</v>
      </c>
      <c r="F40" s="1">
        <f t="shared" si="9"/>
        <v>33367387.225635529</v>
      </c>
      <c r="G40" s="2">
        <f t="shared" si="10"/>
        <v>56939473220847.727</v>
      </c>
      <c r="H40" s="2">
        <f t="shared" si="11"/>
        <v>1113382530265505</v>
      </c>
      <c r="I40" s="3">
        <f t="shared" si="12"/>
        <v>8.6032459274527368E-3</v>
      </c>
      <c r="J40" s="3">
        <f t="shared" si="13"/>
        <v>3.804326797516782E-2</v>
      </c>
    </row>
    <row r="41" spans="1:10" x14ac:dyDescent="0.3">
      <c r="A41" s="7">
        <v>41730</v>
      </c>
      <c r="B41" s="5">
        <v>911312078.79999995</v>
      </c>
      <c r="C41" s="1">
        <f t="shared" si="14"/>
        <v>871053795.29063439</v>
      </c>
      <c r="D41" s="1">
        <f t="shared" si="15"/>
        <v>857070022.86461878</v>
      </c>
      <c r="E41" s="1">
        <f t="shared" si="8"/>
        <v>40258283.509365559</v>
      </c>
      <c r="F41" s="1">
        <f t="shared" si="9"/>
        <v>54242055.935381174</v>
      </c>
      <c r="G41" s="2">
        <f t="shared" si="10"/>
        <v>1620729391120455</v>
      </c>
      <c r="H41" s="2">
        <f t="shared" si="11"/>
        <v>2942200632097020</v>
      </c>
      <c r="I41" s="3">
        <f t="shared" si="12"/>
        <v>4.4176176795963217E-2</v>
      </c>
      <c r="J41" s="3">
        <f t="shared" si="13"/>
        <v>5.9520835065421475E-2</v>
      </c>
    </row>
    <row r="42" spans="1:10" x14ac:dyDescent="0.3">
      <c r="A42" s="7">
        <v>41760</v>
      </c>
      <c r="B42" s="5">
        <v>977854756.89999998</v>
      </c>
      <c r="C42" s="1">
        <f t="shared" si="14"/>
        <v>879105451.99250758</v>
      </c>
      <c r="D42" s="1">
        <f t="shared" si="15"/>
        <v>878766845.2387712</v>
      </c>
      <c r="E42" s="1">
        <f t="shared" si="8"/>
        <v>98749304.907492399</v>
      </c>
      <c r="F42" s="1">
        <f t="shared" si="9"/>
        <v>99087911.661228776</v>
      </c>
      <c r="G42" s="2">
        <f t="shared" si="10"/>
        <v>9751425219712902</v>
      </c>
      <c r="H42" s="2">
        <f t="shared" si="11"/>
        <v>9818414237383478</v>
      </c>
      <c r="I42" s="3">
        <f t="shared" si="12"/>
        <v>0.10098565682755171</v>
      </c>
      <c r="J42" s="3">
        <f t="shared" si="13"/>
        <v>0.10133193192755718</v>
      </c>
    </row>
    <row r="43" spans="1:10" x14ac:dyDescent="0.3">
      <c r="A43" s="7">
        <v>41791</v>
      </c>
      <c r="B43" s="5">
        <v>969604267.20000005</v>
      </c>
      <c r="C43" s="1">
        <f t="shared" si="14"/>
        <v>898855312.97400606</v>
      </c>
      <c r="D43" s="1">
        <f t="shared" si="15"/>
        <v>918402009.90326262</v>
      </c>
      <c r="E43" s="1">
        <f t="shared" si="8"/>
        <v>70748954.225993991</v>
      </c>
      <c r="F43" s="1">
        <f t="shared" si="9"/>
        <v>51202257.296737432</v>
      </c>
      <c r="G43" s="2">
        <f t="shared" si="10"/>
        <v>5005414524071793</v>
      </c>
      <c r="H43" s="2">
        <f t="shared" si="11"/>
        <v>2621671152281301.5</v>
      </c>
      <c r="I43" s="3">
        <f t="shared" si="12"/>
        <v>7.2966834634815625E-2</v>
      </c>
      <c r="J43" s="3">
        <f t="shared" si="13"/>
        <v>5.2807376193380502E-2</v>
      </c>
    </row>
    <row r="44" spans="1:10" x14ac:dyDescent="0.3">
      <c r="A44" s="7">
        <v>41821</v>
      </c>
      <c r="B44" s="5">
        <v>1017547567</v>
      </c>
      <c r="C44" s="1">
        <f t="shared" si="14"/>
        <v>913005103.81920493</v>
      </c>
      <c r="D44" s="1">
        <f t="shared" si="15"/>
        <v>938882912.82195759</v>
      </c>
      <c r="E44" s="1">
        <f t="shared" si="8"/>
        <v>104542463.18079507</v>
      </c>
      <c r="F44" s="1">
        <f t="shared" si="9"/>
        <v>78664654.178042412</v>
      </c>
      <c r="G44" s="2">
        <f t="shared" si="10"/>
        <v>1.0929126607907894E+16</v>
      </c>
      <c r="H44" s="2">
        <f t="shared" si="11"/>
        <v>6188127816951005</v>
      </c>
      <c r="I44" s="3">
        <f t="shared" si="12"/>
        <v>0.10273963259429136</v>
      </c>
      <c r="J44" s="3">
        <f t="shared" si="13"/>
        <v>7.7308085370364224E-2</v>
      </c>
    </row>
    <row r="45" spans="1:10" x14ac:dyDescent="0.3">
      <c r="A45" s="7">
        <v>41852</v>
      </c>
      <c r="B45" s="5">
        <v>1027165762</v>
      </c>
      <c r="C45" s="1">
        <f t="shared" si="14"/>
        <v>933913596.45536399</v>
      </c>
      <c r="D45" s="1">
        <f t="shared" si="15"/>
        <v>970348774.49317455</v>
      </c>
      <c r="E45" s="1">
        <f t="shared" si="8"/>
        <v>93252165.544636011</v>
      </c>
      <c r="F45" s="1">
        <f t="shared" si="9"/>
        <v>56816987.506825447</v>
      </c>
      <c r="G45" s="2">
        <f t="shared" si="10"/>
        <v>8695966378764200</v>
      </c>
      <c r="H45" s="2">
        <f t="shared" si="11"/>
        <v>3228170069350759</v>
      </c>
      <c r="I45" s="3">
        <f t="shared" si="12"/>
        <v>9.0785897461247364E-2</v>
      </c>
      <c r="J45" s="3">
        <f t="shared" si="13"/>
        <v>5.5314331540993716E-2</v>
      </c>
    </row>
    <row r="46" spans="1:10" x14ac:dyDescent="0.3">
      <c r="A46" s="7">
        <v>41883</v>
      </c>
      <c r="B46" s="5">
        <v>1031279058</v>
      </c>
      <c r="C46" s="1">
        <f t="shared" si="14"/>
        <v>952564029.56429124</v>
      </c>
      <c r="D46" s="1">
        <f t="shared" si="15"/>
        <v>993075569.49590468</v>
      </c>
      <c r="E46" s="1">
        <f t="shared" si="8"/>
        <v>78715028.435708761</v>
      </c>
      <c r="F46" s="1">
        <f t="shared" si="9"/>
        <v>38203488.504095316</v>
      </c>
      <c r="G46" s="2">
        <f t="shared" si="10"/>
        <v>6196055701634439</v>
      </c>
      <c r="H46" s="2">
        <f t="shared" si="11"/>
        <v>1459506533882543</v>
      </c>
      <c r="I46" s="3">
        <f t="shared" si="12"/>
        <v>7.6327573826975512E-2</v>
      </c>
      <c r="J46" s="3">
        <f t="shared" si="13"/>
        <v>3.7044763207142832E-2</v>
      </c>
    </row>
    <row r="47" spans="1:10" x14ac:dyDescent="0.3">
      <c r="A47" s="7">
        <v>41913</v>
      </c>
      <c r="B47" s="5">
        <v>994093092.79999995</v>
      </c>
      <c r="C47" s="1">
        <f t="shared" si="14"/>
        <v>968307035.25143301</v>
      </c>
      <c r="D47" s="1">
        <f t="shared" si="15"/>
        <v>1008356964.8975428</v>
      </c>
      <c r="E47" s="1">
        <f t="shared" si="8"/>
        <v>25786057.548566937</v>
      </c>
      <c r="F47" s="1">
        <f t="shared" si="9"/>
        <v>14263872.097542882</v>
      </c>
      <c r="G47" s="2">
        <f t="shared" si="10"/>
        <v>664920763898005.88</v>
      </c>
      <c r="H47" s="2">
        <f t="shared" si="11"/>
        <v>203458047215062.38</v>
      </c>
      <c r="I47" s="3">
        <f t="shared" si="12"/>
        <v>2.5939278459260751E-2</v>
      </c>
      <c r="J47" s="3">
        <f t="shared" si="13"/>
        <v>1.434862811224925E-2</v>
      </c>
    </row>
    <row r="48" spans="1:10" x14ac:dyDescent="0.3">
      <c r="A48" s="7">
        <v>41944</v>
      </c>
      <c r="B48" s="5">
        <v>932364953.10000002</v>
      </c>
      <c r="C48" s="1">
        <f t="shared" si="14"/>
        <v>973464246.76114655</v>
      </c>
      <c r="D48" s="1">
        <f t="shared" si="15"/>
        <v>1002651416.0585257</v>
      </c>
      <c r="E48" s="1">
        <f t="shared" si="8"/>
        <v>41099293.661146522</v>
      </c>
      <c r="F48" s="1">
        <f t="shared" si="9"/>
        <v>70286462.958525658</v>
      </c>
      <c r="G48" s="2">
        <f t="shared" si="10"/>
        <v>1689151939445158.8</v>
      </c>
      <c r="H48" s="2">
        <f t="shared" si="11"/>
        <v>4940186875220199</v>
      </c>
      <c r="I48" s="3">
        <f t="shared" si="12"/>
        <v>4.408069342857255E-2</v>
      </c>
      <c r="J48" s="3">
        <f t="shared" si="13"/>
        <v>7.5385140469761025E-2</v>
      </c>
    </row>
    <row r="49" spans="1:10" x14ac:dyDescent="0.3">
      <c r="A49" s="7">
        <v>41974</v>
      </c>
      <c r="B49" s="5">
        <v>992656608.70000005</v>
      </c>
      <c r="C49" s="1">
        <f t="shared" si="14"/>
        <v>965244388.02891731</v>
      </c>
      <c r="D49" s="1">
        <f t="shared" si="15"/>
        <v>974536830.87511539</v>
      </c>
      <c r="E49" s="1">
        <f t="shared" si="8"/>
        <v>27412220.671082735</v>
      </c>
      <c r="F49" s="1">
        <f t="shared" si="9"/>
        <v>18119777.824884653</v>
      </c>
      <c r="G49" s="2">
        <f t="shared" si="10"/>
        <v>751429842120135.63</v>
      </c>
      <c r="H49" s="2">
        <f t="shared" si="11"/>
        <v>328326348423181.63</v>
      </c>
      <c r="I49" s="3">
        <f t="shared" si="12"/>
        <v>2.7615008484134555E-2</v>
      </c>
      <c r="J49" s="3">
        <f t="shared" si="13"/>
        <v>1.8253822788340292E-2</v>
      </c>
    </row>
    <row r="50" spans="1:10" x14ac:dyDescent="0.3">
      <c r="A50" s="7">
        <v>42005</v>
      </c>
      <c r="B50" s="5">
        <v>930726495.20000005</v>
      </c>
      <c r="C50" s="1">
        <f t="shared" si="14"/>
        <v>970726832.16313386</v>
      </c>
      <c r="D50" s="1">
        <f t="shared" si="15"/>
        <v>981784742.00506926</v>
      </c>
      <c r="E50" s="1">
        <f t="shared" si="8"/>
        <v>40000336.963133812</v>
      </c>
      <c r="F50" s="1">
        <f t="shared" si="9"/>
        <v>51058246.805069208</v>
      </c>
      <c r="G50" s="2">
        <f t="shared" si="10"/>
        <v>1600026957164249</v>
      </c>
      <c r="H50" s="2">
        <f t="shared" si="11"/>
        <v>2606944566807360</v>
      </c>
      <c r="I50" s="3">
        <f t="shared" si="12"/>
        <v>4.2977541919592931E-2</v>
      </c>
      <c r="J50" s="3">
        <f t="shared" si="13"/>
        <v>5.4858486427957022E-2</v>
      </c>
    </row>
    <row r="51" spans="1:10" x14ac:dyDescent="0.3">
      <c r="A51" s="7">
        <v>42036</v>
      </c>
      <c r="B51" s="5">
        <v>869749540.60000002</v>
      </c>
      <c r="C51" s="1">
        <f t="shared" si="14"/>
        <v>962726764.7705071</v>
      </c>
      <c r="D51" s="1">
        <f t="shared" si="15"/>
        <v>961361443.2830416</v>
      </c>
      <c r="E51" s="1">
        <f t="shared" si="8"/>
        <v>92977224.170507073</v>
      </c>
      <c r="F51" s="1">
        <f t="shared" si="9"/>
        <v>91611902.683041573</v>
      </c>
      <c r="G51" s="2">
        <f t="shared" si="10"/>
        <v>8644764214452725</v>
      </c>
      <c r="H51" s="2">
        <f t="shared" si="11"/>
        <v>8392740713207080</v>
      </c>
      <c r="I51" s="3">
        <f t="shared" si="12"/>
        <v>0.10690114777912545</v>
      </c>
      <c r="J51" s="3">
        <f t="shared" si="13"/>
        <v>0.10533136081893502</v>
      </c>
    </row>
    <row r="52" spans="1:10" x14ac:dyDescent="0.3">
      <c r="A52" s="7">
        <v>42064</v>
      </c>
      <c r="B52" s="5">
        <v>908891613.29999995</v>
      </c>
      <c r="C52" s="1">
        <f t="shared" si="14"/>
        <v>944131319.93640578</v>
      </c>
      <c r="D52" s="1">
        <f t="shared" si="15"/>
        <v>924716682.20982492</v>
      </c>
      <c r="E52" s="1">
        <f t="shared" si="8"/>
        <v>35239706.636405826</v>
      </c>
      <c r="F52" s="1">
        <f t="shared" si="9"/>
        <v>15825068.909824967</v>
      </c>
      <c r="G52" s="2">
        <f t="shared" si="10"/>
        <v>1241836923819944.8</v>
      </c>
      <c r="H52" s="2">
        <f t="shared" si="11"/>
        <v>250432806000708.78</v>
      </c>
      <c r="I52" s="3">
        <f t="shared" si="12"/>
        <v>3.8772177144926714E-2</v>
      </c>
      <c r="J52" s="3">
        <f t="shared" si="13"/>
        <v>1.741139281984061E-2</v>
      </c>
    </row>
    <row r="53" spans="1:10" x14ac:dyDescent="0.3">
      <c r="A53" s="7">
        <v>42095</v>
      </c>
      <c r="B53" s="5">
        <v>872724221</v>
      </c>
      <c r="C53" s="1">
        <f t="shared" si="14"/>
        <v>937083378.60912466</v>
      </c>
      <c r="D53" s="1">
        <f t="shared" si="15"/>
        <v>918386654.645895</v>
      </c>
      <c r="E53" s="1">
        <f t="shared" si="8"/>
        <v>64359157.60912466</v>
      </c>
      <c r="F53" s="1">
        <f t="shared" si="9"/>
        <v>45662433.645895004</v>
      </c>
      <c r="G53" s="2">
        <f t="shared" si="10"/>
        <v>4142101168156148.5</v>
      </c>
      <c r="H53" s="2">
        <f t="shared" si="11"/>
        <v>2085057846465764.3</v>
      </c>
      <c r="I53" s="3">
        <f t="shared" si="12"/>
        <v>7.3745125963594241E-2</v>
      </c>
      <c r="J53" s="3">
        <f t="shared" si="13"/>
        <v>5.2321721509657748E-2</v>
      </c>
    </row>
    <row r="54" spans="1:10" x14ac:dyDescent="0.3">
      <c r="A54" s="7">
        <v>42125</v>
      </c>
      <c r="B54" s="5">
        <v>922912817</v>
      </c>
      <c r="C54" s="1">
        <f t="shared" si="14"/>
        <v>924211547.08729982</v>
      </c>
      <c r="D54" s="1">
        <f t="shared" si="15"/>
        <v>900121681.18753695</v>
      </c>
      <c r="E54" s="1">
        <f t="shared" si="8"/>
        <v>1298730.0872998238</v>
      </c>
      <c r="F54" s="1">
        <f t="shared" si="9"/>
        <v>22791135.812463045</v>
      </c>
      <c r="G54" s="2">
        <f t="shared" si="10"/>
        <v>1686699839657.8079</v>
      </c>
      <c r="H54" s="2">
        <f t="shared" si="11"/>
        <v>519435871622135.56</v>
      </c>
      <c r="I54" s="3">
        <f t="shared" si="12"/>
        <v>1.4072077702002742E-3</v>
      </c>
      <c r="J54" s="3">
        <f t="shared" si="13"/>
        <v>2.4694787408573875E-2</v>
      </c>
    </row>
    <row r="55" spans="1:10" x14ac:dyDescent="0.3">
      <c r="A55" s="7">
        <v>42156</v>
      </c>
      <c r="B55" s="5">
        <v>913545656.20000005</v>
      </c>
      <c r="C55" s="1">
        <f t="shared" si="14"/>
        <v>923951801.06983984</v>
      </c>
      <c r="D55" s="1">
        <f t="shared" si="15"/>
        <v>909238135.51252222</v>
      </c>
      <c r="E55" s="1">
        <f t="shared" si="8"/>
        <v>10406144.869839787</v>
      </c>
      <c r="F55" s="1">
        <f t="shared" si="9"/>
        <v>4307520.6874778271</v>
      </c>
      <c r="G55" s="2">
        <f t="shared" si="10"/>
        <v>108287851052092.92</v>
      </c>
      <c r="H55" s="2">
        <f t="shared" si="11"/>
        <v>18554734473049.453</v>
      </c>
      <c r="I55" s="3">
        <f t="shared" si="12"/>
        <v>1.1390941218116414E-2</v>
      </c>
      <c r="J55" s="3">
        <f t="shared" si="13"/>
        <v>4.7151673900957102E-3</v>
      </c>
    </row>
    <row r="56" spans="1:10" x14ac:dyDescent="0.3">
      <c r="A56" s="7">
        <v>42186</v>
      </c>
      <c r="B56" s="5">
        <v>837831860.39999998</v>
      </c>
      <c r="C56" s="1">
        <f t="shared" si="14"/>
        <v>921870572.09587193</v>
      </c>
      <c r="D56" s="1">
        <f t="shared" si="15"/>
        <v>910961143.78751338</v>
      </c>
      <c r="E56" s="1">
        <f t="shared" si="8"/>
        <v>84038711.695871949</v>
      </c>
      <c r="F56" s="1">
        <f t="shared" si="9"/>
        <v>73129283.387513399</v>
      </c>
      <c r="G56" s="2">
        <f t="shared" si="10"/>
        <v>7062505063501885</v>
      </c>
      <c r="H56" s="2">
        <f t="shared" si="11"/>
        <v>5347892088771243</v>
      </c>
      <c r="I56" s="3">
        <f t="shared" si="12"/>
        <v>0.10030498441029678</v>
      </c>
      <c r="J56" s="3">
        <f t="shared" si="13"/>
        <v>8.728396095202183E-2</v>
      </c>
    </row>
    <row r="57" spans="1:10" x14ac:dyDescent="0.3">
      <c r="A57" s="7">
        <v>42217</v>
      </c>
      <c r="B57" s="5">
        <v>856752647.70000005</v>
      </c>
      <c r="C57" s="1">
        <f t="shared" si="14"/>
        <v>905062829.75669765</v>
      </c>
      <c r="D57" s="1">
        <f t="shared" si="15"/>
        <v>881709430.43250799</v>
      </c>
      <c r="E57" s="1">
        <f t="shared" si="8"/>
        <v>48310182.056697607</v>
      </c>
      <c r="F57" s="1">
        <f t="shared" si="9"/>
        <v>24956782.732507944</v>
      </c>
      <c r="G57" s="2">
        <f t="shared" si="10"/>
        <v>2333873690351267.5</v>
      </c>
      <c r="H57" s="2">
        <f t="shared" si="11"/>
        <v>622841004357606.63</v>
      </c>
      <c r="I57" s="3">
        <f t="shared" si="12"/>
        <v>5.6387549179321442E-2</v>
      </c>
      <c r="J57" s="3">
        <f t="shared" si="13"/>
        <v>2.9129507564996514E-2</v>
      </c>
    </row>
    <row r="58" spans="1:10" x14ac:dyDescent="0.3">
      <c r="A58" s="7">
        <v>42248</v>
      </c>
      <c r="B58" s="5">
        <v>797657575.5</v>
      </c>
      <c r="C58" s="1">
        <f t="shared" si="14"/>
        <v>895400793.34535813</v>
      </c>
      <c r="D58" s="1">
        <f t="shared" si="15"/>
        <v>871726717.33950484</v>
      </c>
      <c r="E58" s="1">
        <f t="shared" si="8"/>
        <v>97743217.845358133</v>
      </c>
      <c r="F58" s="1">
        <f t="shared" si="9"/>
        <v>74069141.839504838</v>
      </c>
      <c r="G58" s="2">
        <f t="shared" si="10"/>
        <v>9553736634765136</v>
      </c>
      <c r="H58" s="2">
        <f t="shared" si="11"/>
        <v>5486237772840686</v>
      </c>
      <c r="I58" s="3">
        <f t="shared" si="12"/>
        <v>0.12253781678697055</v>
      </c>
      <c r="J58" s="3">
        <f t="shared" si="13"/>
        <v>9.2858319302083575E-2</v>
      </c>
    </row>
    <row r="59" spans="1:10" x14ac:dyDescent="0.3">
      <c r="A59" s="7">
        <v>42278</v>
      </c>
      <c r="B59" s="5">
        <v>766819965.20000005</v>
      </c>
      <c r="C59" s="1">
        <f t="shared" si="14"/>
        <v>875852149.7762866</v>
      </c>
      <c r="D59" s="1">
        <f t="shared" si="15"/>
        <v>842099060.60370278</v>
      </c>
      <c r="E59" s="1">
        <f t="shared" si="8"/>
        <v>109032184.57628655</v>
      </c>
      <c r="F59" s="1">
        <f t="shared" si="9"/>
        <v>75279095.403702736</v>
      </c>
      <c r="G59" s="2">
        <f t="shared" si="10"/>
        <v>1.188801727347742E+16</v>
      </c>
      <c r="H59" s="2">
        <f t="shared" si="11"/>
        <v>5666942204799778</v>
      </c>
      <c r="I59" s="3">
        <f t="shared" si="12"/>
        <v>0.14218746188728804</v>
      </c>
      <c r="J59" s="3">
        <f t="shared" si="13"/>
        <v>9.8170494796739713E-2</v>
      </c>
    </row>
    <row r="60" spans="1:10" x14ac:dyDescent="0.3">
      <c r="A60" s="7">
        <v>42309</v>
      </c>
      <c r="B60" s="5">
        <v>789902871.79999995</v>
      </c>
      <c r="C60" s="1">
        <f t="shared" si="14"/>
        <v>854045712.86102939</v>
      </c>
      <c r="D60" s="1">
        <f t="shared" si="15"/>
        <v>811987422.44222164</v>
      </c>
      <c r="E60" s="1">
        <f t="shared" si="8"/>
        <v>64142841.061029434</v>
      </c>
      <c r="F60" s="1">
        <f t="shared" si="9"/>
        <v>22084550.642221689</v>
      </c>
      <c r="G60" s="2">
        <f t="shared" si="10"/>
        <v>4114304059380483.5</v>
      </c>
      <c r="H60" s="2">
        <f t="shared" si="11"/>
        <v>487727377068854.44</v>
      </c>
      <c r="I60" s="3">
        <f t="shared" si="12"/>
        <v>8.1203453425689187E-2</v>
      </c>
      <c r="J60" s="3">
        <f t="shared" si="13"/>
        <v>2.7958564819363516E-2</v>
      </c>
    </row>
    <row r="61" spans="1:10" x14ac:dyDescent="0.3">
      <c r="A61" s="7">
        <v>42339</v>
      </c>
      <c r="B61" s="5">
        <v>741903290.29999995</v>
      </c>
      <c r="C61" s="1">
        <f t="shared" si="14"/>
        <v>841217144.64882362</v>
      </c>
      <c r="D61" s="1">
        <f t="shared" si="15"/>
        <v>803153602.18533301</v>
      </c>
      <c r="E61" s="1">
        <f t="shared" si="8"/>
        <v>99313854.348823667</v>
      </c>
      <c r="F61" s="1">
        <f t="shared" si="9"/>
        <v>61250311.885333061</v>
      </c>
      <c r="G61" s="2">
        <f t="shared" si="10"/>
        <v>9863241665619362</v>
      </c>
      <c r="H61" s="2">
        <f t="shared" si="11"/>
        <v>3751600706050572.5</v>
      </c>
      <c r="I61" s="3">
        <f t="shared" si="12"/>
        <v>0.13386361220835749</v>
      </c>
      <c r="J61" s="3">
        <f t="shared" si="13"/>
        <v>8.2558350510301096E-2</v>
      </c>
    </row>
    <row r="62" spans="1:10" x14ac:dyDescent="0.3">
      <c r="A62" s="7">
        <v>42370</v>
      </c>
      <c r="B62" s="5">
        <v>738471168.70000005</v>
      </c>
      <c r="C62" s="1">
        <f t="shared" si="14"/>
        <v>821354373.77905893</v>
      </c>
      <c r="D62" s="1">
        <f t="shared" si="15"/>
        <v>778653477.43119979</v>
      </c>
      <c r="E62" s="1">
        <f t="shared" si="8"/>
        <v>82883205.079058886</v>
      </c>
      <c r="F62" s="1">
        <f t="shared" si="9"/>
        <v>40182308.731199741</v>
      </c>
      <c r="G62" s="2">
        <f t="shared" si="10"/>
        <v>6869625684177333</v>
      </c>
      <c r="H62" s="2">
        <f t="shared" si="11"/>
        <v>1614617934969451</v>
      </c>
      <c r="I62" s="3">
        <f t="shared" si="12"/>
        <v>0.11223620987799152</v>
      </c>
      <c r="J62" s="3">
        <f t="shared" si="13"/>
        <v>5.4412833478572252E-2</v>
      </c>
    </row>
    <row r="63" spans="1:10" x14ac:dyDescent="0.3">
      <c r="A63" s="7">
        <v>42401</v>
      </c>
      <c r="B63" s="5">
        <v>680116237.5</v>
      </c>
      <c r="C63" s="1">
        <f t="shared" si="14"/>
        <v>804777732.76324725</v>
      </c>
      <c r="D63" s="1">
        <f t="shared" si="15"/>
        <v>762580553.93871987</v>
      </c>
      <c r="E63" s="1">
        <f t="shared" si="8"/>
        <v>124661495.26324725</v>
      </c>
      <c r="F63" s="1">
        <f t="shared" si="9"/>
        <v>82464316.438719869</v>
      </c>
      <c r="G63" s="2">
        <f t="shared" si="10"/>
        <v>1.5540488401268616E+16</v>
      </c>
      <c r="H63" s="2">
        <f t="shared" si="11"/>
        <v>6800363485705324</v>
      </c>
      <c r="I63" s="3">
        <f t="shared" si="12"/>
        <v>0.18329439644241291</v>
      </c>
      <c r="J63" s="3">
        <f t="shared" si="13"/>
        <v>0.1212503273585199</v>
      </c>
    </row>
    <row r="64" spans="1:10" x14ac:dyDescent="0.3">
      <c r="A64" s="7">
        <v>42430</v>
      </c>
      <c r="B64" s="5">
        <v>672472987.39999998</v>
      </c>
      <c r="C64" s="1">
        <f t="shared" si="14"/>
        <v>779845433.71059787</v>
      </c>
      <c r="D64" s="1">
        <f t="shared" si="15"/>
        <v>729594827.3632319</v>
      </c>
      <c r="E64" s="1">
        <f t="shared" si="8"/>
        <v>107372446.3105979</v>
      </c>
      <c r="F64" s="1">
        <f t="shared" si="9"/>
        <v>57121839.963231921</v>
      </c>
      <c r="G64" s="2">
        <f t="shared" si="10"/>
        <v>1.1528842226722228E+16</v>
      </c>
      <c r="H64" s="2">
        <f t="shared" si="11"/>
        <v>3262904600785079.5</v>
      </c>
      <c r="I64" s="3">
        <f t="shared" si="12"/>
        <v>0.15966804365738885</v>
      </c>
      <c r="J64" s="3">
        <f t="shared" si="13"/>
        <v>8.494295091923855E-2</v>
      </c>
    </row>
    <row r="65" spans="1:10" x14ac:dyDescent="0.3">
      <c r="A65" s="7">
        <v>42461</v>
      </c>
      <c r="B65" s="5">
        <v>679662896</v>
      </c>
      <c r="C65" s="1">
        <f t="shared" si="14"/>
        <v>758370944.44847834</v>
      </c>
      <c r="D65" s="1">
        <f t="shared" si="15"/>
        <v>706746091.37793911</v>
      </c>
      <c r="E65" s="1">
        <f t="shared" si="8"/>
        <v>78708048.448478341</v>
      </c>
      <c r="F65" s="1">
        <f t="shared" si="9"/>
        <v>27083195.377939105</v>
      </c>
      <c r="G65" s="2">
        <f t="shared" si="10"/>
        <v>6194956890568014</v>
      </c>
      <c r="H65" s="2">
        <f t="shared" si="11"/>
        <v>733499471879622.13</v>
      </c>
      <c r="I65" s="3">
        <f t="shared" si="12"/>
        <v>0.11580453914977042</v>
      </c>
      <c r="J65" s="3">
        <f t="shared" si="13"/>
        <v>3.9847982782834017E-2</v>
      </c>
    </row>
    <row r="66" spans="1:10" x14ac:dyDescent="0.3">
      <c r="A66" s="7">
        <v>42491</v>
      </c>
      <c r="B66" s="5">
        <v>784832284.39999998</v>
      </c>
      <c r="C66" s="1">
        <f t="shared" si="14"/>
        <v>742629334.75878274</v>
      </c>
      <c r="D66" s="1">
        <f t="shared" si="15"/>
        <v>695912813.22676349</v>
      </c>
      <c r="E66" s="1">
        <f t="shared" ref="E66:E97" si="16">ABS(B66-C66)</f>
        <v>42202949.641217232</v>
      </c>
      <c r="F66" s="1">
        <f t="shared" ref="F66:F97" si="17">ABS(B66-D66)</f>
        <v>88919471.173236489</v>
      </c>
      <c r="G66" s="2">
        <f t="shared" ref="G66:G97" si="18">(B66-C66)^2</f>
        <v>1781088958419117.8</v>
      </c>
      <c r="H66" s="2">
        <f t="shared" ref="H66:H97" si="19">(B66-D66)^2</f>
        <v>7906672353728035</v>
      </c>
      <c r="I66" s="3">
        <f t="shared" ref="I66:I97" si="20">E66/B66</f>
        <v>5.3773207958030367E-2</v>
      </c>
      <c r="J66" s="3">
        <f t="shared" ref="J66:J97" si="21">F66/B66</f>
        <v>0.11329741772946425</v>
      </c>
    </row>
    <row r="67" spans="1:10" x14ac:dyDescent="0.3">
      <c r="A67" s="7">
        <v>42522</v>
      </c>
      <c r="B67" s="5">
        <v>750613765.39999998</v>
      </c>
      <c r="C67" s="1">
        <f t="shared" ref="C67:C98" si="22">C$1*$B66+(1-C$1)*C66</f>
        <v>751069924.68702626</v>
      </c>
      <c r="D67" s="1">
        <f t="shared" ref="D67:D98" si="23">D$1*$B66+(1-D$1)*D66</f>
        <v>731480601.69605803</v>
      </c>
      <c r="E67" s="1">
        <f t="shared" si="16"/>
        <v>456159.28702628613</v>
      </c>
      <c r="F67" s="1">
        <f t="shared" si="17"/>
        <v>19133163.703941941</v>
      </c>
      <c r="G67" s="2">
        <f t="shared" si="18"/>
        <v>208081295140.32968</v>
      </c>
      <c r="H67" s="2">
        <f t="shared" si="19"/>
        <v>366077953321841.31</v>
      </c>
      <c r="I67" s="3">
        <f t="shared" si="20"/>
        <v>6.0771505673520409E-4</v>
      </c>
      <c r="J67" s="3">
        <f t="shared" si="21"/>
        <v>2.5490025078005241E-2</v>
      </c>
    </row>
    <row r="68" spans="1:10" x14ac:dyDescent="0.3">
      <c r="A68" s="7">
        <v>42552</v>
      </c>
      <c r="B68" s="5">
        <v>769075582.10000002</v>
      </c>
      <c r="C68" s="1">
        <f t="shared" si="22"/>
        <v>750978692.82962108</v>
      </c>
      <c r="D68" s="1">
        <f t="shared" si="23"/>
        <v>739133867.17763484</v>
      </c>
      <c r="E68" s="1">
        <f t="shared" si="16"/>
        <v>18096889.270378947</v>
      </c>
      <c r="F68" s="1">
        <f t="shared" si="17"/>
        <v>29941714.922365189</v>
      </c>
      <c r="G68" s="2">
        <f t="shared" si="18"/>
        <v>327497401264356.69</v>
      </c>
      <c r="H68" s="2">
        <f t="shared" si="19"/>
        <v>896506292492186.25</v>
      </c>
      <c r="I68" s="3">
        <f t="shared" si="20"/>
        <v>2.3530703212504122E-2</v>
      </c>
      <c r="J68" s="3">
        <f t="shared" si="21"/>
        <v>3.893208368494526E-2</v>
      </c>
    </row>
    <row r="69" spans="1:10" x14ac:dyDescent="0.3">
      <c r="A69" s="7">
        <v>42583</v>
      </c>
      <c r="B69" s="5">
        <v>789686892.39999998</v>
      </c>
      <c r="C69" s="1">
        <f t="shared" si="22"/>
        <v>754598070.68369699</v>
      </c>
      <c r="D69" s="1">
        <f t="shared" si="23"/>
        <v>751110553.14658093</v>
      </c>
      <c r="E69" s="1">
        <f t="shared" si="16"/>
        <v>35088821.716302991</v>
      </c>
      <c r="F69" s="1">
        <f t="shared" si="17"/>
        <v>38576339.253419042</v>
      </c>
      <c r="G69" s="2">
        <f t="shared" si="18"/>
        <v>1231225409438496.3</v>
      </c>
      <c r="H69" s="2">
        <f t="shared" si="19"/>
        <v>1488133950194878.8</v>
      </c>
      <c r="I69" s="3">
        <f t="shared" si="20"/>
        <v>4.4433840872882886E-2</v>
      </c>
      <c r="J69" s="3">
        <f t="shared" si="21"/>
        <v>4.885017039624228E-2</v>
      </c>
    </row>
    <row r="70" spans="1:10" x14ac:dyDescent="0.3">
      <c r="A70" s="7">
        <v>42614</v>
      </c>
      <c r="B70" s="5">
        <v>805169805.89999998</v>
      </c>
      <c r="C70" s="1">
        <f t="shared" si="22"/>
        <v>761615835.02695763</v>
      </c>
      <c r="D70" s="1">
        <f t="shared" si="23"/>
        <v>766541088.84794855</v>
      </c>
      <c r="E70" s="1">
        <f t="shared" si="16"/>
        <v>43553970.873042345</v>
      </c>
      <c r="F70" s="1">
        <f t="shared" si="17"/>
        <v>38628717.052051425</v>
      </c>
      <c r="G70" s="2">
        <f t="shared" si="18"/>
        <v>1896948378809821</v>
      </c>
      <c r="H70" s="2">
        <f t="shared" si="19"/>
        <v>1492177781087448.5</v>
      </c>
      <c r="I70" s="3">
        <f t="shared" si="20"/>
        <v>5.4092901340678984E-2</v>
      </c>
      <c r="J70" s="3">
        <f t="shared" si="21"/>
        <v>4.7975863934531363E-2</v>
      </c>
    </row>
    <row r="71" spans="1:10" x14ac:dyDescent="0.3">
      <c r="A71" s="7">
        <v>42644</v>
      </c>
      <c r="B71" s="5">
        <v>789304203.20000005</v>
      </c>
      <c r="C71" s="1">
        <f t="shared" si="22"/>
        <v>770326629.20156622</v>
      </c>
      <c r="D71" s="1">
        <f t="shared" si="23"/>
        <v>781992575.66876912</v>
      </c>
      <c r="E71" s="1">
        <f t="shared" si="16"/>
        <v>18977573.998433828</v>
      </c>
      <c r="F71" s="1">
        <f t="shared" si="17"/>
        <v>7311627.5312309265</v>
      </c>
      <c r="G71" s="2">
        <f t="shared" si="18"/>
        <v>360148314866031.75</v>
      </c>
      <c r="H71" s="2">
        <f t="shared" si="19"/>
        <v>53459897155454.055</v>
      </c>
      <c r="I71" s="3">
        <f t="shared" si="20"/>
        <v>2.4043421942382768E-2</v>
      </c>
      <c r="J71" s="3">
        <f t="shared" si="21"/>
        <v>9.2633834985143861E-3</v>
      </c>
    </row>
    <row r="72" spans="1:10" x14ac:dyDescent="0.3">
      <c r="A72" s="7">
        <v>42675</v>
      </c>
      <c r="B72" s="5">
        <v>879431387.39999998</v>
      </c>
      <c r="C72" s="1">
        <f t="shared" si="22"/>
        <v>774122144.00125301</v>
      </c>
      <c r="D72" s="1">
        <f t="shared" si="23"/>
        <v>784917226.68126154</v>
      </c>
      <c r="E72" s="1">
        <f t="shared" si="16"/>
        <v>105309243.39874697</v>
      </c>
      <c r="F72" s="1">
        <f t="shared" si="17"/>
        <v>94514160.718738437</v>
      </c>
      <c r="G72" s="2">
        <f t="shared" si="18"/>
        <v>1.1090036745216532E+16</v>
      </c>
      <c r="H72" s="2">
        <f t="shared" si="19"/>
        <v>8932926576367520</v>
      </c>
      <c r="I72" s="3">
        <f t="shared" si="20"/>
        <v>0.1197469693571992</v>
      </c>
      <c r="J72" s="3">
        <f t="shared" si="21"/>
        <v>0.10747189840263192</v>
      </c>
    </row>
    <row r="73" spans="1:10" x14ac:dyDescent="0.3">
      <c r="A73" s="7">
        <v>42705</v>
      </c>
      <c r="B73" s="5">
        <v>868808509.29999995</v>
      </c>
      <c r="C73" s="1">
        <f t="shared" si="22"/>
        <v>795183992.6810025</v>
      </c>
      <c r="D73" s="1">
        <f t="shared" si="23"/>
        <v>822722890.96875691</v>
      </c>
      <c r="E73" s="1">
        <f t="shared" si="16"/>
        <v>73624516.618997455</v>
      </c>
      <c r="F73" s="1">
        <f t="shared" si="17"/>
        <v>46085618.331243038</v>
      </c>
      <c r="G73" s="2">
        <f t="shared" si="18"/>
        <v>5420569447381032</v>
      </c>
      <c r="H73" s="2">
        <f t="shared" si="19"/>
        <v>2123884216973004.3</v>
      </c>
      <c r="I73" s="3">
        <f t="shared" si="20"/>
        <v>8.4741937758317787E-2</v>
      </c>
      <c r="J73" s="3">
        <f t="shared" si="21"/>
        <v>5.3044621269161228E-2</v>
      </c>
    </row>
    <row r="74" spans="1:10" x14ac:dyDescent="0.3">
      <c r="A74" s="7">
        <v>42736</v>
      </c>
      <c r="B74" s="5">
        <v>921410623.10000002</v>
      </c>
      <c r="C74" s="1">
        <f t="shared" si="22"/>
        <v>809908896.00480199</v>
      </c>
      <c r="D74" s="1">
        <f t="shared" si="23"/>
        <v>841157138.30125415</v>
      </c>
      <c r="E74" s="1">
        <f t="shared" si="16"/>
        <v>111501727.09519804</v>
      </c>
      <c r="F74" s="1">
        <f t="shared" si="17"/>
        <v>80253484.798745871</v>
      </c>
      <c r="G74" s="2">
        <f t="shared" si="18"/>
        <v>1.243263514521202E+16</v>
      </c>
      <c r="H74" s="2">
        <f t="shared" si="19"/>
        <v>6440621822342535</v>
      </c>
      <c r="I74" s="3">
        <f t="shared" si="20"/>
        <v>0.12101198347384023</v>
      </c>
      <c r="J74" s="3">
        <f t="shared" si="21"/>
        <v>8.7098501782777921E-2</v>
      </c>
    </row>
    <row r="75" spans="1:10" x14ac:dyDescent="0.3">
      <c r="A75" s="7">
        <v>42767</v>
      </c>
      <c r="B75" s="5">
        <v>767363227.39999998</v>
      </c>
      <c r="C75" s="1">
        <f t="shared" si="22"/>
        <v>832209241.4238416</v>
      </c>
      <c r="D75" s="1">
        <f t="shared" si="23"/>
        <v>873258532.22075248</v>
      </c>
      <c r="E75" s="1">
        <f t="shared" si="16"/>
        <v>64846014.023841619</v>
      </c>
      <c r="F75" s="1">
        <f t="shared" si="17"/>
        <v>105895304.8207525</v>
      </c>
      <c r="G75" s="2">
        <f t="shared" si="18"/>
        <v>4205005534780264</v>
      </c>
      <c r="H75" s="2">
        <f t="shared" si="19"/>
        <v>1.1213815583080088E+16</v>
      </c>
      <c r="I75" s="3">
        <f t="shared" si="20"/>
        <v>8.4504979791062668E-2</v>
      </c>
      <c r="J75" s="3">
        <f t="shared" si="21"/>
        <v>0.13799893067530708</v>
      </c>
    </row>
    <row r="76" spans="1:10" x14ac:dyDescent="0.3">
      <c r="A76" s="7">
        <v>42795</v>
      </c>
      <c r="B76" s="5">
        <v>838521821.39999998</v>
      </c>
      <c r="C76" s="1">
        <f t="shared" si="22"/>
        <v>819240038.61907339</v>
      </c>
      <c r="D76" s="1">
        <f t="shared" si="23"/>
        <v>830900410.29245138</v>
      </c>
      <c r="E76" s="1">
        <f t="shared" si="16"/>
        <v>19281782.780926585</v>
      </c>
      <c r="F76" s="1">
        <f t="shared" si="17"/>
        <v>7621411.1075485945</v>
      </c>
      <c r="G76" s="2">
        <f t="shared" si="18"/>
        <v>371787147210836.94</v>
      </c>
      <c r="H76" s="2">
        <f t="shared" si="19"/>
        <v>58085907270265.094</v>
      </c>
      <c r="I76" s="3">
        <f t="shared" si="20"/>
        <v>2.2994968394183982E-2</v>
      </c>
      <c r="J76" s="3">
        <f t="shared" si="21"/>
        <v>9.0891028868203463E-3</v>
      </c>
    </row>
    <row r="77" spans="1:10" x14ac:dyDescent="0.3">
      <c r="A77" s="7">
        <v>42826</v>
      </c>
      <c r="B77" s="5">
        <v>846177887.5</v>
      </c>
      <c r="C77" s="1">
        <f t="shared" si="22"/>
        <v>823096395.17525876</v>
      </c>
      <c r="D77" s="1">
        <f t="shared" si="23"/>
        <v>833948974.73547077</v>
      </c>
      <c r="E77" s="1">
        <f t="shared" si="16"/>
        <v>23081492.324741244</v>
      </c>
      <c r="F77" s="1">
        <f t="shared" si="17"/>
        <v>12228912.764529228</v>
      </c>
      <c r="G77" s="2">
        <f t="shared" si="18"/>
        <v>532755287937089</v>
      </c>
      <c r="H77" s="2">
        <f t="shared" si="19"/>
        <v>149546307402465.91</v>
      </c>
      <c r="I77" s="3">
        <f t="shared" si="20"/>
        <v>2.7277352275104499E-2</v>
      </c>
      <c r="J77" s="3">
        <f t="shared" si="21"/>
        <v>1.4451940833220165E-2</v>
      </c>
    </row>
    <row r="78" spans="1:10" x14ac:dyDescent="0.3">
      <c r="A78" s="7">
        <v>42856</v>
      </c>
      <c r="B78" s="5">
        <v>1010183347</v>
      </c>
      <c r="C78" s="1">
        <f t="shared" si="22"/>
        <v>827712693.64020705</v>
      </c>
      <c r="D78" s="1">
        <f t="shared" si="23"/>
        <v>838840539.84128237</v>
      </c>
      <c r="E78" s="1">
        <f t="shared" si="16"/>
        <v>182470653.35979295</v>
      </c>
      <c r="F78" s="1">
        <f t="shared" si="17"/>
        <v>171342807.15871763</v>
      </c>
      <c r="G78" s="2">
        <f t="shared" si="18"/>
        <v>3.3295539337549716E+16</v>
      </c>
      <c r="H78" s="2">
        <f t="shared" si="19"/>
        <v>2.93583575650295E+16</v>
      </c>
      <c r="I78" s="3">
        <f t="shared" si="20"/>
        <v>0.18063122293758516</v>
      </c>
      <c r="J78" s="3">
        <f t="shared" si="21"/>
        <v>0.16961555312465237</v>
      </c>
    </row>
    <row r="79" spans="1:10" x14ac:dyDescent="0.3">
      <c r="A79" s="7">
        <v>42887</v>
      </c>
      <c r="B79" s="5">
        <v>969224748.10000002</v>
      </c>
      <c r="C79" s="1">
        <f t="shared" si="22"/>
        <v>864206824.31216562</v>
      </c>
      <c r="D79" s="1">
        <f t="shared" si="23"/>
        <v>907377662.70476937</v>
      </c>
      <c r="E79" s="1">
        <f t="shared" si="16"/>
        <v>105017923.78783441</v>
      </c>
      <c r="F79" s="1">
        <f t="shared" si="17"/>
        <v>61847085.395230651</v>
      </c>
      <c r="G79" s="2">
        <f t="shared" si="18"/>
        <v>1.1028764316707396E+16</v>
      </c>
      <c r="H79" s="2">
        <f t="shared" si="19"/>
        <v>3825061971884952.5</v>
      </c>
      <c r="I79" s="3">
        <f t="shared" si="20"/>
        <v>0.10835249924612857</v>
      </c>
      <c r="J79" s="3">
        <f t="shared" si="21"/>
        <v>6.3810881342507328E-2</v>
      </c>
    </row>
    <row r="80" spans="1:10" x14ac:dyDescent="0.3">
      <c r="A80" s="7">
        <v>42917</v>
      </c>
      <c r="B80" s="5">
        <v>1041600591</v>
      </c>
      <c r="C80" s="1">
        <f t="shared" si="22"/>
        <v>885210409.06973255</v>
      </c>
      <c r="D80" s="1">
        <f t="shared" si="23"/>
        <v>932116496.86286163</v>
      </c>
      <c r="E80" s="1">
        <f t="shared" si="16"/>
        <v>156390181.93026745</v>
      </c>
      <c r="F80" s="1">
        <f t="shared" si="17"/>
        <v>109484094.13713837</v>
      </c>
      <c r="G80" s="2">
        <f t="shared" si="18"/>
        <v>2.4457889004182152E+16</v>
      </c>
      <c r="H80" s="2">
        <f t="shared" si="19"/>
        <v>1.1986766869029776E+16</v>
      </c>
      <c r="I80" s="3">
        <f t="shared" si="20"/>
        <v>0.15014409868961706</v>
      </c>
      <c r="J80" s="3">
        <f t="shared" si="21"/>
        <v>0.1051113978651135</v>
      </c>
    </row>
    <row r="81" spans="1:10" x14ac:dyDescent="0.3">
      <c r="A81" s="7">
        <v>42948</v>
      </c>
      <c r="B81" s="5">
        <v>1047272941</v>
      </c>
      <c r="C81" s="1">
        <f t="shared" si="22"/>
        <v>916488445.45578611</v>
      </c>
      <c r="D81" s="1">
        <f t="shared" si="23"/>
        <v>975910134.51771688</v>
      </c>
      <c r="E81" s="1">
        <f t="shared" si="16"/>
        <v>130784495.54421389</v>
      </c>
      <c r="F81" s="1">
        <f t="shared" si="17"/>
        <v>71362806.482283115</v>
      </c>
      <c r="G81" s="2">
        <f t="shared" si="18"/>
        <v>1.7104584274754504E+16</v>
      </c>
      <c r="H81" s="2">
        <f t="shared" si="19"/>
        <v>5092650149027789</v>
      </c>
      <c r="I81" s="3">
        <f t="shared" si="20"/>
        <v>0.12488100324575643</v>
      </c>
      <c r="J81" s="3">
        <f t="shared" si="21"/>
        <v>6.8141554783361022E-2</v>
      </c>
    </row>
    <row r="82" spans="1:10" x14ac:dyDescent="0.3">
      <c r="A82" s="7">
        <v>42979</v>
      </c>
      <c r="B82" s="5">
        <v>986033698.20000005</v>
      </c>
      <c r="C82" s="1">
        <f t="shared" si="22"/>
        <v>942645344.56462896</v>
      </c>
      <c r="D82" s="1">
        <f t="shared" si="23"/>
        <v>1004455257.11063</v>
      </c>
      <c r="E82" s="1">
        <f t="shared" si="16"/>
        <v>43388353.635371089</v>
      </c>
      <c r="F82" s="1">
        <f t="shared" si="17"/>
        <v>18421558.910629988</v>
      </c>
      <c r="G82" s="2">
        <f t="shared" si="18"/>
        <v>1882549231188019.5</v>
      </c>
      <c r="H82" s="2">
        <f t="shared" si="19"/>
        <v>339353832697811.13</v>
      </c>
      <c r="I82" s="3">
        <f t="shared" si="20"/>
        <v>4.400291157855591E-2</v>
      </c>
      <c r="J82" s="3">
        <f t="shared" si="21"/>
        <v>1.8682484122255111E-2</v>
      </c>
    </row>
    <row r="83" spans="1:10" x14ac:dyDescent="0.3">
      <c r="A83" s="7">
        <v>43009</v>
      </c>
      <c r="B83" s="5">
        <v>936327803.29999995</v>
      </c>
      <c r="C83" s="1">
        <f t="shared" si="22"/>
        <v>951323015.29170322</v>
      </c>
      <c r="D83" s="1">
        <f t="shared" si="23"/>
        <v>997086633.54637814</v>
      </c>
      <c r="E83" s="1">
        <f t="shared" si="16"/>
        <v>14995211.991703272</v>
      </c>
      <c r="F83" s="1">
        <f t="shared" si="17"/>
        <v>60758830.246378183</v>
      </c>
      <c r="G83" s="2">
        <f t="shared" si="18"/>
        <v>224856382676121.59</v>
      </c>
      <c r="H83" s="2">
        <f t="shared" si="19"/>
        <v>3691635452908200.5</v>
      </c>
      <c r="I83" s="3">
        <f t="shared" si="20"/>
        <v>1.6014916932781498E-2</v>
      </c>
      <c r="J83" s="3">
        <f t="shared" si="21"/>
        <v>6.4890554389434293E-2</v>
      </c>
    </row>
    <row r="84" spans="1:10" x14ac:dyDescent="0.3">
      <c r="A84" s="7">
        <v>43040</v>
      </c>
      <c r="B84" s="5">
        <v>933792029.20000005</v>
      </c>
      <c r="C84" s="1">
        <f t="shared" si="22"/>
        <v>948323972.89336264</v>
      </c>
      <c r="D84" s="1">
        <f t="shared" si="23"/>
        <v>972783101.44782686</v>
      </c>
      <c r="E84" s="1">
        <f t="shared" si="16"/>
        <v>14531943.693362594</v>
      </c>
      <c r="F84" s="1">
        <f t="shared" si="17"/>
        <v>38991072.247826815</v>
      </c>
      <c r="G84" s="2">
        <f t="shared" si="18"/>
        <v>211177387507060.84</v>
      </c>
      <c r="H84" s="2">
        <f t="shared" si="19"/>
        <v>1520303715035250.5</v>
      </c>
      <c r="I84" s="3">
        <f t="shared" si="20"/>
        <v>1.5562291429936948E-2</v>
      </c>
      <c r="J84" s="3">
        <f t="shared" si="21"/>
        <v>4.17556276221712E-2</v>
      </c>
    </row>
    <row r="85" spans="1:10" x14ac:dyDescent="0.3">
      <c r="A85" s="7">
        <v>43070</v>
      </c>
      <c r="B85" s="5">
        <v>950975052.5</v>
      </c>
      <c r="C85" s="1">
        <f t="shared" si="22"/>
        <v>945417584.15469015</v>
      </c>
      <c r="D85" s="1">
        <f t="shared" si="23"/>
        <v>957186672.54869616</v>
      </c>
      <c r="E85" s="1">
        <f t="shared" si="16"/>
        <v>5557468.3453098536</v>
      </c>
      <c r="F85" s="1">
        <f t="shared" si="17"/>
        <v>6211620.0486961603</v>
      </c>
      <c r="G85" s="2">
        <f t="shared" si="18"/>
        <v>30885454409121.043</v>
      </c>
      <c r="H85" s="2">
        <f t="shared" si="19"/>
        <v>38584223629364.086</v>
      </c>
      <c r="I85" s="3">
        <f t="shared" si="20"/>
        <v>5.8439685990709558E-3</v>
      </c>
      <c r="J85" s="3">
        <f t="shared" si="21"/>
        <v>6.5318433247712991E-3</v>
      </c>
    </row>
    <row r="86" spans="1:10" x14ac:dyDescent="0.3">
      <c r="A86" s="7">
        <v>43101</v>
      </c>
      <c r="B86" s="5">
        <v>989032370.89999998</v>
      </c>
      <c r="C86" s="1">
        <f t="shared" si="22"/>
        <v>946529077.82375216</v>
      </c>
      <c r="D86" s="1">
        <f t="shared" si="23"/>
        <v>954702024.52921772</v>
      </c>
      <c r="E86" s="1">
        <f t="shared" si="16"/>
        <v>42503293.076247811</v>
      </c>
      <c r="F86" s="1">
        <f t="shared" si="17"/>
        <v>34330346.370782256</v>
      </c>
      <c r="G86" s="2">
        <f t="shared" si="18"/>
        <v>1806529922325415.3</v>
      </c>
      <c r="H86" s="2">
        <f t="shared" si="19"/>
        <v>1178572681937882.5</v>
      </c>
      <c r="I86" s="3">
        <f t="shared" si="20"/>
        <v>4.2974622799828735E-2</v>
      </c>
      <c r="J86" s="3">
        <f t="shared" si="21"/>
        <v>3.4711044229565828E-2</v>
      </c>
    </row>
    <row r="87" spans="1:10" x14ac:dyDescent="0.3">
      <c r="A87" s="7">
        <v>43132</v>
      </c>
      <c r="B87" s="5">
        <v>937774259.60000002</v>
      </c>
      <c r="C87" s="1">
        <f t="shared" si="22"/>
        <v>955029736.4390018</v>
      </c>
      <c r="D87" s="1">
        <f t="shared" si="23"/>
        <v>968434163.07753062</v>
      </c>
      <c r="E87" s="1">
        <f t="shared" si="16"/>
        <v>17255476.839001775</v>
      </c>
      <c r="F87" s="1">
        <f t="shared" si="17"/>
        <v>30659903.477530599</v>
      </c>
      <c r="G87" s="2">
        <f t="shared" si="18"/>
        <v>297751480941326.69</v>
      </c>
      <c r="H87" s="2">
        <f t="shared" si="19"/>
        <v>940029681251492.88</v>
      </c>
      <c r="I87" s="3">
        <f t="shared" si="20"/>
        <v>1.840045902556758E-2</v>
      </c>
      <c r="J87" s="3">
        <f t="shared" si="21"/>
        <v>3.2694332525834452E-2</v>
      </c>
    </row>
    <row r="88" spans="1:10" x14ac:dyDescent="0.3">
      <c r="A88" s="7">
        <v>43160</v>
      </c>
      <c r="B88" s="5">
        <v>894117880.60000002</v>
      </c>
      <c r="C88" s="1">
        <f t="shared" si="22"/>
        <v>951578641.07120156</v>
      </c>
      <c r="D88" s="1">
        <f t="shared" si="23"/>
        <v>956170201.68651843</v>
      </c>
      <c r="E88" s="1">
        <f t="shared" si="16"/>
        <v>57460760.471201539</v>
      </c>
      <c r="F88" s="1">
        <f t="shared" si="17"/>
        <v>62052321.086518407</v>
      </c>
      <c r="G88" s="2">
        <f t="shared" si="18"/>
        <v>3301738993928797.5</v>
      </c>
      <c r="H88" s="2">
        <f t="shared" si="19"/>
        <v>3850490552224377</v>
      </c>
      <c r="I88" s="3">
        <f t="shared" si="20"/>
        <v>6.4265307425283066E-2</v>
      </c>
      <c r="J88" s="3">
        <f t="shared" si="21"/>
        <v>6.940060414056147E-2</v>
      </c>
    </row>
    <row r="89" spans="1:10" x14ac:dyDescent="0.3">
      <c r="A89" s="7">
        <v>43191</v>
      </c>
      <c r="B89" s="5">
        <v>931235048</v>
      </c>
      <c r="C89" s="1">
        <f t="shared" si="22"/>
        <v>940086488.97696126</v>
      </c>
      <c r="D89" s="1">
        <f t="shared" si="23"/>
        <v>931349273.25191104</v>
      </c>
      <c r="E89" s="1">
        <f t="shared" si="16"/>
        <v>8851440.9769612551</v>
      </c>
      <c r="F89" s="1">
        <f t="shared" si="17"/>
        <v>114225.25191104412</v>
      </c>
      <c r="G89" s="2">
        <f t="shared" si="18"/>
        <v>78348007368628.813</v>
      </c>
      <c r="H89" s="2">
        <f t="shared" si="19"/>
        <v>13047408174.141489</v>
      </c>
      <c r="I89" s="3">
        <f t="shared" si="20"/>
        <v>9.5050556741516183E-3</v>
      </c>
      <c r="J89" s="3">
        <f t="shared" si="21"/>
        <v>1.2265995803783806E-4</v>
      </c>
    </row>
    <row r="90" spans="1:10" x14ac:dyDescent="0.3">
      <c r="A90" s="7">
        <v>43221</v>
      </c>
      <c r="B90" s="5">
        <v>1005124306</v>
      </c>
      <c r="C90" s="1">
        <f t="shared" si="22"/>
        <v>938316200.78156912</v>
      </c>
      <c r="D90" s="1">
        <f t="shared" si="23"/>
        <v>931303583.15114665</v>
      </c>
      <c r="E90" s="1">
        <f t="shared" si="16"/>
        <v>66808105.218430877</v>
      </c>
      <c r="F90" s="1">
        <f t="shared" si="17"/>
        <v>73820722.84885335</v>
      </c>
      <c r="G90" s="2">
        <f t="shared" si="18"/>
        <v>4463322922876931</v>
      </c>
      <c r="H90" s="2">
        <f t="shared" si="19"/>
        <v>5449499121927219</v>
      </c>
      <c r="I90" s="3">
        <f t="shared" si="20"/>
        <v>6.6467505381797895E-2</v>
      </c>
      <c r="J90" s="3">
        <f t="shared" si="21"/>
        <v>7.3444371415741436E-2</v>
      </c>
    </row>
    <row r="91" spans="1:10" x14ac:dyDescent="0.3">
      <c r="A91" s="7">
        <v>43252</v>
      </c>
      <c r="B91" s="5">
        <v>1031430918</v>
      </c>
      <c r="C91" s="1">
        <f t="shared" si="22"/>
        <v>951677821.82525539</v>
      </c>
      <c r="D91" s="1">
        <f t="shared" si="23"/>
        <v>960831872.29068804</v>
      </c>
      <c r="E91" s="1">
        <f t="shared" si="16"/>
        <v>79753096.174744606</v>
      </c>
      <c r="F91" s="1">
        <f t="shared" si="17"/>
        <v>70599045.709311962</v>
      </c>
      <c r="G91" s="2">
        <f t="shared" si="18"/>
        <v>6360556349458063</v>
      </c>
      <c r="H91" s="2">
        <f t="shared" si="19"/>
        <v>4984225255065520</v>
      </c>
      <c r="I91" s="3">
        <f t="shared" si="20"/>
        <v>7.7322770515150102E-2</v>
      </c>
      <c r="J91" s="3">
        <f t="shared" si="21"/>
        <v>6.8447672526830303E-2</v>
      </c>
    </row>
    <row r="92" spans="1:10" x14ac:dyDescent="0.3">
      <c r="A92" s="7">
        <v>43282</v>
      </c>
      <c r="B92" s="5">
        <v>1089106723</v>
      </c>
      <c r="C92" s="1">
        <f t="shared" si="22"/>
        <v>967628441.06020439</v>
      </c>
      <c r="D92" s="1">
        <f t="shared" si="23"/>
        <v>989071490.57441282</v>
      </c>
      <c r="E92" s="1">
        <f t="shared" si="16"/>
        <v>121478281.93979561</v>
      </c>
      <c r="F92" s="1">
        <f t="shared" si="17"/>
        <v>100035232.42558718</v>
      </c>
      <c r="G92" s="2">
        <f t="shared" si="18"/>
        <v>1.4756972983044474E+16</v>
      </c>
      <c r="H92" s="2">
        <f t="shared" si="19"/>
        <v>1.0007047726441248E+16</v>
      </c>
      <c r="I92" s="3">
        <f t="shared" si="20"/>
        <v>0.11153937385050521</v>
      </c>
      <c r="J92" s="3">
        <f t="shared" si="21"/>
        <v>9.1850716107999983E-2</v>
      </c>
    </row>
    <row r="93" spans="1:10" x14ac:dyDescent="0.3">
      <c r="A93" s="7">
        <v>43313</v>
      </c>
      <c r="B93" s="5">
        <v>1098437144</v>
      </c>
      <c r="C93" s="1">
        <f t="shared" si="22"/>
        <v>991924097.44816363</v>
      </c>
      <c r="D93" s="1">
        <f t="shared" si="23"/>
        <v>1029085583.5446477</v>
      </c>
      <c r="E93" s="1">
        <f t="shared" si="16"/>
        <v>106513046.55183637</v>
      </c>
      <c r="F93" s="1">
        <f t="shared" si="17"/>
        <v>69351560.455352306</v>
      </c>
      <c r="G93" s="2">
        <f t="shared" si="18"/>
        <v>1.1345029085753662E+16</v>
      </c>
      <c r="H93" s="2">
        <f t="shared" si="19"/>
        <v>4809638937592386</v>
      </c>
      <c r="I93" s="3">
        <f t="shared" si="20"/>
        <v>9.69678120715812E-2</v>
      </c>
      <c r="J93" s="3">
        <f t="shared" si="21"/>
        <v>6.3136576211184917E-2</v>
      </c>
    </row>
    <row r="94" spans="1:10" x14ac:dyDescent="0.3">
      <c r="A94" s="7">
        <v>43344</v>
      </c>
      <c r="B94" s="5">
        <v>1097405885</v>
      </c>
      <c r="C94" s="1">
        <f t="shared" si="22"/>
        <v>1013226706.7585309</v>
      </c>
      <c r="D94" s="1">
        <f t="shared" si="23"/>
        <v>1056826207.7267886</v>
      </c>
      <c r="E94" s="1">
        <f t="shared" si="16"/>
        <v>84179178.241469145</v>
      </c>
      <c r="F94" s="1">
        <f t="shared" si="17"/>
        <v>40579677.27321136</v>
      </c>
      <c r="G94" s="2">
        <f t="shared" si="18"/>
        <v>7086134049409032</v>
      </c>
      <c r="H94" s="2">
        <f t="shared" si="19"/>
        <v>1646710207597986.5</v>
      </c>
      <c r="I94" s="3">
        <f t="shared" si="20"/>
        <v>7.6707423745471487E-2</v>
      </c>
      <c r="J94" s="3">
        <f t="shared" si="21"/>
        <v>3.6977819991562522E-2</v>
      </c>
    </row>
    <row r="95" spans="1:10" x14ac:dyDescent="0.3">
      <c r="A95" s="7">
        <v>43374</v>
      </c>
      <c r="B95" s="5">
        <v>1085378948</v>
      </c>
      <c r="C95" s="1">
        <f t="shared" si="22"/>
        <v>1030062542.4068247</v>
      </c>
      <c r="D95" s="1">
        <f t="shared" si="23"/>
        <v>1073058078.6360731</v>
      </c>
      <c r="E95" s="1">
        <f t="shared" si="16"/>
        <v>55316405.593175292</v>
      </c>
      <c r="F95" s="1">
        <f t="shared" si="17"/>
        <v>12320869.363926888</v>
      </c>
      <c r="G95" s="2">
        <f t="shared" si="18"/>
        <v>3059904727748674.5</v>
      </c>
      <c r="H95" s="2">
        <f t="shared" si="19"/>
        <v>151803821882952.16</v>
      </c>
      <c r="I95" s="3">
        <f t="shared" si="20"/>
        <v>5.0965062197958988E-2</v>
      </c>
      <c r="J95" s="3">
        <f t="shared" si="21"/>
        <v>1.1351675271231525E-2</v>
      </c>
    </row>
    <row r="96" spans="1:10" x14ac:dyDescent="0.3">
      <c r="A96" s="7">
        <v>43405</v>
      </c>
      <c r="B96" s="5">
        <v>1151726966</v>
      </c>
      <c r="C96" s="1">
        <f t="shared" si="22"/>
        <v>1041125823.5254599</v>
      </c>
      <c r="D96" s="1">
        <f t="shared" si="23"/>
        <v>1077986426.3816438</v>
      </c>
      <c r="E96" s="1">
        <f t="shared" si="16"/>
        <v>110601142.47454011</v>
      </c>
      <c r="F96" s="1">
        <f t="shared" si="17"/>
        <v>73740539.618356228</v>
      </c>
      <c r="G96" s="2">
        <f t="shared" si="18"/>
        <v>1.2232612716673522E+16</v>
      </c>
      <c r="H96" s="2">
        <f t="shared" si="19"/>
        <v>5437667183206364</v>
      </c>
      <c r="I96" s="3">
        <f t="shared" si="20"/>
        <v>9.603069628443528E-2</v>
      </c>
      <c r="J96" s="3">
        <f t="shared" si="21"/>
        <v>6.4026059817337153E-2</v>
      </c>
    </row>
    <row r="97" spans="1:10" x14ac:dyDescent="0.3">
      <c r="A97" s="7">
        <v>43435</v>
      </c>
      <c r="B97" s="5">
        <v>1191693765</v>
      </c>
      <c r="C97" s="1">
        <f t="shared" si="22"/>
        <v>1063246052.020368</v>
      </c>
      <c r="D97" s="1">
        <f t="shared" si="23"/>
        <v>1107482642.2289863</v>
      </c>
      <c r="E97" s="1">
        <f t="shared" si="16"/>
        <v>128447712.97963202</v>
      </c>
      <c r="F97" s="1">
        <f t="shared" si="17"/>
        <v>84211122.771013737</v>
      </c>
      <c r="G97" s="2">
        <f t="shared" si="18"/>
        <v>1.6498814969697928E+16</v>
      </c>
      <c r="H97" s="2">
        <f t="shared" si="19"/>
        <v>7091513198354748</v>
      </c>
      <c r="I97" s="3">
        <f t="shared" si="20"/>
        <v>0.10778583957736157</v>
      </c>
      <c r="J97" s="3">
        <f t="shared" si="21"/>
        <v>7.0665069537402286E-2</v>
      </c>
    </row>
    <row r="98" spans="1:10" x14ac:dyDescent="0.3">
      <c r="A98" s="7">
        <v>43466</v>
      </c>
      <c r="B98" s="5">
        <v>1160576030</v>
      </c>
      <c r="C98" s="1">
        <f t="shared" si="22"/>
        <v>1088935594.6162944</v>
      </c>
      <c r="D98" s="1">
        <f t="shared" si="23"/>
        <v>1141167091.3373919</v>
      </c>
      <c r="E98" s="1">
        <f t="shared" ref="E98:E129" si="24">ABS(B98-C98)</f>
        <v>71640435.383705616</v>
      </c>
      <c r="F98" s="1">
        <f t="shared" ref="F98:F129" si="25">ABS(B98-D98)</f>
        <v>19408938.662608147</v>
      </c>
      <c r="G98" s="2">
        <f t="shared" ref="G98:G129" si="26">(B98-C98)^2</f>
        <v>5132351981966900</v>
      </c>
      <c r="H98" s="2">
        <f t="shared" ref="H98:H129" si="27">(B98-D98)^2</f>
        <v>376706900008885.31</v>
      </c>
      <c r="I98" s="3">
        <f t="shared" ref="I98:I129" si="28">E98/B98</f>
        <v>6.1728343108814351E-2</v>
      </c>
      <c r="J98" s="3">
        <f t="shared" ref="J98:J129" si="29">F98/B98</f>
        <v>1.6723539139963235E-2</v>
      </c>
    </row>
    <row r="99" spans="1:10" x14ac:dyDescent="0.3">
      <c r="A99" s="7">
        <v>43497</v>
      </c>
      <c r="B99" s="5">
        <v>969629900.10000002</v>
      </c>
      <c r="C99" s="1">
        <f t="shared" ref="C99:C130" si="30">C$1*$B98+(1-C$1)*C98</f>
        <v>1103263681.6930356</v>
      </c>
      <c r="D99" s="1">
        <f t="shared" ref="D99:D130" si="31">D$1*$B98+(1-D$1)*D98</f>
        <v>1148930666.8024349</v>
      </c>
      <c r="E99" s="1">
        <f t="shared" si="24"/>
        <v>133633781.59303558</v>
      </c>
      <c r="F99" s="1">
        <f t="shared" si="25"/>
        <v>179300766.7024349</v>
      </c>
      <c r="G99" s="2">
        <f t="shared" si="26"/>
        <v>1.7857987582855134E+16</v>
      </c>
      <c r="H99" s="2">
        <f t="shared" si="27"/>
        <v>3.2148764940080988E+16</v>
      </c>
      <c r="I99" s="3">
        <f t="shared" si="28"/>
        <v>0.13781936961644195</v>
      </c>
      <c r="J99" s="3">
        <f t="shared" si="29"/>
        <v>0.18491670552232684</v>
      </c>
    </row>
    <row r="100" spans="1:10" x14ac:dyDescent="0.3">
      <c r="A100" s="7">
        <v>43525</v>
      </c>
      <c r="B100" s="5">
        <v>1048651003</v>
      </c>
      <c r="C100" s="1">
        <f t="shared" si="30"/>
        <v>1076536925.3744285</v>
      </c>
      <c r="D100" s="1">
        <f t="shared" si="31"/>
        <v>1077210360.1214609</v>
      </c>
      <c r="E100" s="1">
        <f t="shared" si="24"/>
        <v>27885922.374428511</v>
      </c>
      <c r="F100" s="1">
        <f t="shared" si="25"/>
        <v>28559357.121460915</v>
      </c>
      <c r="G100" s="2">
        <f t="shared" si="26"/>
        <v>777624666672652.63</v>
      </c>
      <c r="H100" s="2">
        <f t="shared" si="27"/>
        <v>815636879191140.25</v>
      </c>
      <c r="I100" s="3">
        <f t="shared" si="28"/>
        <v>2.6592185860359597E-2</v>
      </c>
      <c r="J100" s="3">
        <f t="shared" si="29"/>
        <v>2.7234377347428059E-2</v>
      </c>
    </row>
    <row r="101" spans="1:10" x14ac:dyDescent="0.3">
      <c r="A101" s="7">
        <v>43556</v>
      </c>
      <c r="B101" s="5">
        <v>1072985548</v>
      </c>
      <c r="C101" s="1">
        <f t="shared" si="30"/>
        <v>1070959740.8995429</v>
      </c>
      <c r="D101" s="1">
        <f t="shared" si="31"/>
        <v>1065786617.2728766</v>
      </c>
      <c r="E101" s="1">
        <f t="shared" si="24"/>
        <v>2025807.1004570723</v>
      </c>
      <c r="F101" s="1">
        <f t="shared" si="25"/>
        <v>7198930.7271233797</v>
      </c>
      <c r="G101" s="2">
        <f t="shared" si="26"/>
        <v>4103894408262.2905</v>
      </c>
      <c r="H101" s="2">
        <f t="shared" si="27"/>
        <v>51824603613921.156</v>
      </c>
      <c r="I101" s="3">
        <f t="shared" si="28"/>
        <v>1.8880096793783398E-3</v>
      </c>
      <c r="J101" s="3">
        <f t="shared" si="29"/>
        <v>6.7092522732872632E-3</v>
      </c>
    </row>
    <row r="102" spans="1:10" x14ac:dyDescent="0.3">
      <c r="A102" s="7">
        <v>43586</v>
      </c>
      <c r="B102" s="5">
        <v>1130996192</v>
      </c>
      <c r="C102" s="1">
        <f t="shared" si="30"/>
        <v>1071364902.3196344</v>
      </c>
      <c r="D102" s="1">
        <f t="shared" si="31"/>
        <v>1068666189.5637259</v>
      </c>
      <c r="E102" s="1">
        <f t="shared" si="24"/>
        <v>59631289.680365562</v>
      </c>
      <c r="F102" s="1">
        <f t="shared" si="25"/>
        <v>62330002.436274052</v>
      </c>
      <c r="G102" s="2">
        <f t="shared" si="26"/>
        <v>3555890708943672.5</v>
      </c>
      <c r="H102" s="2">
        <f t="shared" si="27"/>
        <v>3885029203705929</v>
      </c>
      <c r="I102" s="3">
        <f t="shared" si="28"/>
        <v>5.2724571578721603E-2</v>
      </c>
      <c r="J102" s="3">
        <f t="shared" si="29"/>
        <v>5.5110709370340703E-2</v>
      </c>
    </row>
    <row r="103" spans="1:10" x14ac:dyDescent="0.3">
      <c r="A103" s="7">
        <v>43617</v>
      </c>
      <c r="B103" s="5">
        <v>1196575714</v>
      </c>
      <c r="C103" s="1">
        <f t="shared" si="30"/>
        <v>1083291160.2557077</v>
      </c>
      <c r="D103" s="1">
        <f t="shared" si="31"/>
        <v>1093598190.5382357</v>
      </c>
      <c r="E103" s="1">
        <f t="shared" si="24"/>
        <v>113284553.74429226</v>
      </c>
      <c r="F103" s="1">
        <f t="shared" si="25"/>
        <v>102977523.46176434</v>
      </c>
      <c r="G103" s="2">
        <f t="shared" si="26"/>
        <v>1.2833390117043442E+16</v>
      </c>
      <c r="H103" s="2">
        <f t="shared" si="27"/>
        <v>1.0604370338318224E+16</v>
      </c>
      <c r="I103" s="3">
        <f t="shared" si="28"/>
        <v>9.4673953698756294E-2</v>
      </c>
      <c r="J103" s="3">
        <f t="shared" si="29"/>
        <v>8.6060181781162523E-2</v>
      </c>
    </row>
    <row r="104" spans="1:10" x14ac:dyDescent="0.3">
      <c r="A104" s="7">
        <v>43647</v>
      </c>
      <c r="B104" s="5">
        <v>1162746019</v>
      </c>
      <c r="C104" s="1">
        <f t="shared" si="30"/>
        <v>1105948071.0045662</v>
      </c>
      <c r="D104" s="1">
        <f t="shared" si="31"/>
        <v>1134789199.9229414</v>
      </c>
      <c r="E104" s="1">
        <f t="shared" si="24"/>
        <v>56797947.995433807</v>
      </c>
      <c r="F104" s="1">
        <f t="shared" si="25"/>
        <v>27956819.077058554</v>
      </c>
      <c r="G104" s="2">
        <f t="shared" si="26"/>
        <v>3226006896492003.5</v>
      </c>
      <c r="H104" s="2">
        <f t="shared" si="27"/>
        <v>781583732907385.13</v>
      </c>
      <c r="I104" s="3">
        <f t="shared" si="28"/>
        <v>4.8848112199327866E-2</v>
      </c>
      <c r="J104" s="3">
        <f t="shared" si="29"/>
        <v>2.4043788256615441E-2</v>
      </c>
    </row>
    <row r="105" spans="1:10" x14ac:dyDescent="0.3">
      <c r="A105" s="7">
        <v>43678</v>
      </c>
      <c r="B105" s="5">
        <v>1112398911</v>
      </c>
      <c r="C105" s="1">
        <f t="shared" si="30"/>
        <v>1117307660.603653</v>
      </c>
      <c r="D105" s="1">
        <f t="shared" si="31"/>
        <v>1145971927.5537648</v>
      </c>
      <c r="E105" s="1">
        <f t="shared" si="24"/>
        <v>4908749.6036529541</v>
      </c>
      <c r="F105" s="1">
        <f t="shared" si="25"/>
        <v>33573016.55376482</v>
      </c>
      <c r="G105" s="2">
        <f t="shared" si="26"/>
        <v>24095822671363.035</v>
      </c>
      <c r="H105" s="2">
        <f t="shared" si="27"/>
        <v>1127147440519366.8</v>
      </c>
      <c r="I105" s="3">
        <f t="shared" si="28"/>
        <v>4.4127601664408263E-3</v>
      </c>
      <c r="J105" s="3">
        <f t="shared" si="29"/>
        <v>3.0180734826128233E-2</v>
      </c>
    </row>
    <row r="106" spans="1:10" x14ac:dyDescent="0.3">
      <c r="A106" s="7">
        <v>43709</v>
      </c>
      <c r="B106" s="5">
        <v>1121572378</v>
      </c>
      <c r="C106" s="1">
        <f t="shared" si="30"/>
        <v>1116325910.6829224</v>
      </c>
      <c r="D106" s="1">
        <f t="shared" si="31"/>
        <v>1132542720.9322588</v>
      </c>
      <c r="E106" s="1">
        <f t="shared" si="24"/>
        <v>5246467.3170776367</v>
      </c>
      <c r="F106" s="1">
        <f t="shared" si="25"/>
        <v>10970342.932258844</v>
      </c>
      <c r="G106" s="2">
        <f t="shared" si="26"/>
        <v>27525419309163.816</v>
      </c>
      <c r="H106" s="2">
        <f t="shared" si="27"/>
        <v>120348424051361.58</v>
      </c>
      <c r="I106" s="3">
        <f t="shared" si="28"/>
        <v>4.6777786436156656E-3</v>
      </c>
      <c r="J106" s="3">
        <f t="shared" si="29"/>
        <v>9.7812171086285836E-3</v>
      </c>
    </row>
    <row r="107" spans="1:10" x14ac:dyDescent="0.3">
      <c r="A107" s="7">
        <v>43739</v>
      </c>
      <c r="B107" s="5">
        <v>1097809801</v>
      </c>
      <c r="C107" s="1">
        <f t="shared" si="30"/>
        <v>1117375204.146338</v>
      </c>
      <c r="D107" s="1">
        <f t="shared" si="31"/>
        <v>1128154583.7593553</v>
      </c>
      <c r="E107" s="1">
        <f t="shared" si="24"/>
        <v>19565403.146337986</v>
      </c>
      <c r="F107" s="1">
        <f t="shared" si="25"/>
        <v>30344782.759355307</v>
      </c>
      <c r="G107" s="2">
        <f t="shared" si="26"/>
        <v>382805000278732.38</v>
      </c>
      <c r="H107" s="2">
        <f t="shared" si="27"/>
        <v>920805840712467</v>
      </c>
      <c r="I107" s="3">
        <f t="shared" si="28"/>
        <v>1.7822215768629295E-2</v>
      </c>
      <c r="J107" s="3">
        <f t="shared" si="29"/>
        <v>2.7641202266288845E-2</v>
      </c>
    </row>
    <row r="108" spans="1:10" x14ac:dyDescent="0.3">
      <c r="A108" s="7">
        <v>43770</v>
      </c>
      <c r="B108" s="5">
        <v>1120793497</v>
      </c>
      <c r="C108" s="1">
        <f t="shared" si="30"/>
        <v>1113462123.5170705</v>
      </c>
      <c r="D108" s="1">
        <f t="shared" si="31"/>
        <v>1116016670.6556132</v>
      </c>
      <c r="E108" s="1">
        <f t="shared" si="24"/>
        <v>7331373.4829294682</v>
      </c>
      <c r="F108" s="1">
        <f t="shared" si="25"/>
        <v>4776826.344386816</v>
      </c>
      <c r="G108" s="2">
        <f t="shared" si="26"/>
        <v>53749037146201.359</v>
      </c>
      <c r="H108" s="2">
        <f t="shared" si="27"/>
        <v>22818069924427.914</v>
      </c>
      <c r="I108" s="3">
        <f t="shared" si="28"/>
        <v>6.541234850624288E-3</v>
      </c>
      <c r="J108" s="3">
        <f t="shared" si="29"/>
        <v>4.2620039794777787E-3</v>
      </c>
    </row>
    <row r="109" spans="1:10" x14ac:dyDescent="0.3">
      <c r="A109" s="7">
        <v>43800</v>
      </c>
      <c r="B109" s="5">
        <v>1139698269</v>
      </c>
      <c r="C109" s="1">
        <f t="shared" si="30"/>
        <v>1114928398.2136564</v>
      </c>
      <c r="D109" s="1">
        <f t="shared" si="31"/>
        <v>1117927401.193368</v>
      </c>
      <c r="E109" s="1">
        <f t="shared" si="24"/>
        <v>24769870.786343575</v>
      </c>
      <c r="F109" s="1">
        <f t="shared" si="25"/>
        <v>21770867.806632042</v>
      </c>
      <c r="G109" s="2">
        <f t="shared" si="26"/>
        <v>613546498772156.88</v>
      </c>
      <c r="H109" s="2">
        <f t="shared" si="27"/>
        <v>473970685053847.44</v>
      </c>
      <c r="I109" s="3">
        <f t="shared" si="28"/>
        <v>2.1733709228212907E-2</v>
      </c>
      <c r="J109" s="3">
        <f t="shared" si="29"/>
        <v>1.9102308390565821E-2</v>
      </c>
    </row>
    <row r="110" spans="1:10" x14ac:dyDescent="0.3">
      <c r="A110" s="7">
        <v>43831</v>
      </c>
      <c r="B110" s="5">
        <v>1241487968</v>
      </c>
      <c r="C110" s="1">
        <f t="shared" si="30"/>
        <v>1119882372.3709252</v>
      </c>
      <c r="D110" s="1">
        <f t="shared" si="31"/>
        <v>1126635748.3160207</v>
      </c>
      <c r="E110" s="1">
        <f t="shared" si="24"/>
        <v>121605595.62907481</v>
      </c>
      <c r="F110" s="1">
        <f t="shared" si="25"/>
        <v>114852219.68397927</v>
      </c>
      <c r="G110" s="2">
        <f t="shared" si="26"/>
        <v>1.478792088830206E+16</v>
      </c>
      <c r="H110" s="2">
        <f t="shared" si="27"/>
        <v>1.3191032366337036E+16</v>
      </c>
      <c r="I110" s="3">
        <f t="shared" si="28"/>
        <v>9.7951489473536976E-2</v>
      </c>
      <c r="J110" s="3">
        <f t="shared" si="29"/>
        <v>9.2511746101738512E-2</v>
      </c>
    </row>
    <row r="111" spans="1:10" x14ac:dyDescent="0.3">
      <c r="A111" s="7">
        <v>43862</v>
      </c>
      <c r="B111" s="5">
        <v>915152860.10000002</v>
      </c>
      <c r="C111" s="1">
        <f t="shared" si="30"/>
        <v>1144203491.4967403</v>
      </c>
      <c r="D111" s="1">
        <f t="shared" si="31"/>
        <v>1172576636.1896124</v>
      </c>
      <c r="E111" s="1">
        <f t="shared" si="24"/>
        <v>229050631.39674032</v>
      </c>
      <c r="F111" s="1">
        <f t="shared" si="25"/>
        <v>257423776.08961236</v>
      </c>
      <c r="G111" s="2">
        <f t="shared" si="26"/>
        <v>5.24641917432454E+16</v>
      </c>
      <c r="H111" s="2">
        <f t="shared" si="27"/>
        <v>6.626700049623488E+16</v>
      </c>
      <c r="I111" s="3">
        <f t="shared" si="28"/>
        <v>0.25028674594505623</v>
      </c>
      <c r="J111" s="3">
        <f t="shared" si="29"/>
        <v>0.28129046776019834</v>
      </c>
    </row>
    <row r="112" spans="1:10" x14ac:dyDescent="0.3">
      <c r="A112" s="7">
        <v>43891</v>
      </c>
      <c r="B112" s="5">
        <v>1031178712</v>
      </c>
      <c r="C112" s="1">
        <f t="shared" si="30"/>
        <v>1098393365.2173924</v>
      </c>
      <c r="D112" s="1">
        <f t="shared" si="31"/>
        <v>1069607125.7537675</v>
      </c>
      <c r="E112" s="1">
        <f t="shared" si="24"/>
        <v>67214653.217392445</v>
      </c>
      <c r="F112" s="1">
        <f t="shared" si="25"/>
        <v>38428413.75376749</v>
      </c>
      <c r="G112" s="2">
        <f t="shared" si="26"/>
        <v>4517809607134325</v>
      </c>
      <c r="H112" s="2">
        <f t="shared" si="27"/>
        <v>1476742983630746.5</v>
      </c>
      <c r="I112" s="3">
        <f t="shared" si="28"/>
        <v>6.5182351453927659E-2</v>
      </c>
      <c r="J112" s="3">
        <f t="shared" si="29"/>
        <v>3.7266492516350058E-2</v>
      </c>
    </row>
    <row r="113" spans="1:10" x14ac:dyDescent="0.3">
      <c r="A113" s="7">
        <v>43922</v>
      </c>
      <c r="B113" s="5">
        <v>1005077969</v>
      </c>
      <c r="C113" s="1">
        <f t="shared" si="30"/>
        <v>1084950434.5739141</v>
      </c>
      <c r="D113" s="1">
        <f t="shared" si="31"/>
        <v>1054235760.2522604</v>
      </c>
      <c r="E113" s="1">
        <f t="shared" si="24"/>
        <v>79872465.573914051</v>
      </c>
      <c r="F113" s="1">
        <f t="shared" si="25"/>
        <v>49157791.252260447</v>
      </c>
      <c r="G113" s="2">
        <f t="shared" si="26"/>
        <v>6379610756856085</v>
      </c>
      <c r="H113" s="2">
        <f t="shared" si="27"/>
        <v>2416488440800813.5</v>
      </c>
      <c r="I113" s="3">
        <f t="shared" si="28"/>
        <v>7.946892483712778E-2</v>
      </c>
      <c r="J113" s="3">
        <f t="shared" si="29"/>
        <v>4.890943067946249E-2</v>
      </c>
    </row>
    <row r="114" spans="1:10" x14ac:dyDescent="0.3">
      <c r="A114" s="7">
        <v>43952</v>
      </c>
      <c r="B114" s="5">
        <v>983481490.10000002</v>
      </c>
      <c r="C114" s="1">
        <f t="shared" si="30"/>
        <v>1068975941.4591312</v>
      </c>
      <c r="D114" s="1">
        <f t="shared" si="31"/>
        <v>1034572643.7513562</v>
      </c>
      <c r="E114" s="1">
        <f t="shared" si="24"/>
        <v>85494451.359131217</v>
      </c>
      <c r="F114" s="1">
        <f t="shared" si="25"/>
        <v>51091153.65135622</v>
      </c>
      <c r="G114" s="2">
        <f t="shared" si="26"/>
        <v>7309301213198854</v>
      </c>
      <c r="H114" s="2">
        <f t="shared" si="27"/>
        <v>2610305981426490</v>
      </c>
      <c r="I114" s="3">
        <f t="shared" si="28"/>
        <v>8.6930412234233478E-2</v>
      </c>
      <c r="J114" s="3">
        <f t="shared" si="29"/>
        <v>5.1949278319575992E-2</v>
      </c>
    </row>
    <row r="115" spans="1:10" x14ac:dyDescent="0.3">
      <c r="A115" s="7">
        <v>43983</v>
      </c>
      <c r="B115" s="5">
        <v>1083944239</v>
      </c>
      <c r="C115" s="1">
        <f t="shared" si="30"/>
        <v>1051877051.187305</v>
      </c>
      <c r="D115" s="1">
        <f t="shared" si="31"/>
        <v>1014136182.2908137</v>
      </c>
      <c r="E115" s="1">
        <f t="shared" si="24"/>
        <v>32067187.812695026</v>
      </c>
      <c r="F115" s="1">
        <f t="shared" si="25"/>
        <v>69808056.709186316</v>
      </c>
      <c r="G115" s="2">
        <f t="shared" si="26"/>
        <v>1028304534214656.4</v>
      </c>
      <c r="H115" s="2">
        <f t="shared" si="27"/>
        <v>4873164781512973</v>
      </c>
      <c r="I115" s="3">
        <f t="shared" si="28"/>
        <v>2.9583798371656853E-2</v>
      </c>
      <c r="J115" s="3">
        <f t="shared" si="29"/>
        <v>6.4401889135540957E-2</v>
      </c>
    </row>
    <row r="116" spans="1:10" x14ac:dyDescent="0.3">
      <c r="A116" s="7">
        <v>44013</v>
      </c>
      <c r="B116" s="5">
        <v>1197942563</v>
      </c>
      <c r="C116" s="1">
        <f t="shared" si="30"/>
        <v>1058290488.7498441</v>
      </c>
      <c r="D116" s="1">
        <f t="shared" si="31"/>
        <v>1042059404.9744883</v>
      </c>
      <c r="E116" s="1">
        <f t="shared" si="24"/>
        <v>139652074.25015593</v>
      </c>
      <c r="F116" s="1">
        <f t="shared" si="25"/>
        <v>155883158.02551174</v>
      </c>
      <c r="G116" s="2">
        <f t="shared" si="26"/>
        <v>1.9502701842371064E+16</v>
      </c>
      <c r="H116" s="2">
        <f t="shared" si="27"/>
        <v>2.4299558956006664E+16</v>
      </c>
      <c r="I116" s="3">
        <f t="shared" si="28"/>
        <v>0.11657660272160805</v>
      </c>
      <c r="J116" s="3">
        <f t="shared" si="29"/>
        <v>0.13012573627498011</v>
      </c>
    </row>
    <row r="117" spans="1:10" x14ac:dyDescent="0.3">
      <c r="A117" s="7">
        <v>44044</v>
      </c>
      <c r="B117" s="5">
        <v>1302785576</v>
      </c>
      <c r="C117" s="1">
        <f t="shared" si="30"/>
        <v>1086220903.5998755</v>
      </c>
      <c r="D117" s="1">
        <f t="shared" si="31"/>
        <v>1104412668.1846929</v>
      </c>
      <c r="E117" s="1">
        <f t="shared" si="24"/>
        <v>216564672.40012455</v>
      </c>
      <c r="F117" s="1">
        <f t="shared" si="25"/>
        <v>198372907.81530714</v>
      </c>
      <c r="G117" s="2">
        <f t="shared" si="26"/>
        <v>4.6900257331773264E+16</v>
      </c>
      <c r="H117" s="2">
        <f t="shared" si="27"/>
        <v>3.9351810555100344E+16</v>
      </c>
      <c r="I117" s="3">
        <f t="shared" si="28"/>
        <v>0.16623201575891913</v>
      </c>
      <c r="J117" s="3">
        <f t="shared" si="29"/>
        <v>0.15226827151738986</v>
      </c>
    </row>
    <row r="118" spans="1:10" x14ac:dyDescent="0.3">
      <c r="A118" s="7">
        <v>44075</v>
      </c>
      <c r="B118" s="5">
        <v>1361596240</v>
      </c>
      <c r="C118" s="1">
        <f t="shared" si="30"/>
        <v>1129533838.0799005</v>
      </c>
      <c r="D118" s="1">
        <f t="shared" si="31"/>
        <v>1183761831.3108158</v>
      </c>
      <c r="E118" s="1">
        <f t="shared" si="24"/>
        <v>232062401.9200995</v>
      </c>
      <c r="F118" s="1">
        <f t="shared" si="25"/>
        <v>177834408.68918419</v>
      </c>
      <c r="G118" s="2">
        <f t="shared" si="26"/>
        <v>5.38529583849258E+16</v>
      </c>
      <c r="H118" s="2">
        <f t="shared" si="27"/>
        <v>3.1625076913831788E+16</v>
      </c>
      <c r="I118" s="3">
        <f t="shared" si="28"/>
        <v>0.1704340795771436</v>
      </c>
      <c r="J118" s="3">
        <f t="shared" si="29"/>
        <v>0.13060730006803206</v>
      </c>
    </row>
    <row r="119" spans="1:10" x14ac:dyDescent="0.3">
      <c r="A119" s="7">
        <v>44105</v>
      </c>
      <c r="B119" s="5">
        <v>1478464989</v>
      </c>
      <c r="C119" s="1">
        <f t="shared" si="30"/>
        <v>1175946318.4639206</v>
      </c>
      <c r="D119" s="1">
        <f t="shared" si="31"/>
        <v>1254895594.7864895</v>
      </c>
      <c r="E119" s="1">
        <f t="shared" si="24"/>
        <v>302518670.53607941</v>
      </c>
      <c r="F119" s="1">
        <f t="shared" si="25"/>
        <v>223569394.21351051</v>
      </c>
      <c r="G119" s="2">
        <f t="shared" si="26"/>
        <v>9.151754602291696E+16</v>
      </c>
      <c r="H119" s="2">
        <f t="shared" si="27"/>
        <v>4.9983274028996072E+16</v>
      </c>
      <c r="I119" s="3">
        <f t="shared" si="28"/>
        <v>0.20461672936921971</v>
      </c>
      <c r="J119" s="3">
        <f t="shared" si="29"/>
        <v>0.15121723941851864</v>
      </c>
    </row>
    <row r="120" spans="1:10" x14ac:dyDescent="0.3">
      <c r="A120" s="7">
        <v>44136</v>
      </c>
      <c r="B120" s="5">
        <v>1515601165</v>
      </c>
      <c r="C120" s="1">
        <f t="shared" si="30"/>
        <v>1236450052.5711365</v>
      </c>
      <c r="D120" s="1">
        <f t="shared" si="31"/>
        <v>1344323352.4718938</v>
      </c>
      <c r="E120" s="1">
        <f t="shared" si="24"/>
        <v>279151112.42886353</v>
      </c>
      <c r="F120" s="1">
        <f t="shared" si="25"/>
        <v>171277812.52810621</v>
      </c>
      <c r="G120" s="2">
        <f t="shared" si="26"/>
        <v>7.7925343570272E+16</v>
      </c>
      <c r="H120" s="2">
        <f t="shared" si="27"/>
        <v>2.9336089064413096E+16</v>
      </c>
      <c r="I120" s="3">
        <f t="shared" si="28"/>
        <v>0.1841850738013015</v>
      </c>
      <c r="J120" s="3">
        <f t="shared" si="29"/>
        <v>0.11300981846903385</v>
      </c>
    </row>
    <row r="121" spans="1:10" x14ac:dyDescent="0.3">
      <c r="A121" s="7">
        <v>44166</v>
      </c>
      <c r="B121" s="5">
        <v>1859082729</v>
      </c>
      <c r="C121" s="1">
        <f t="shared" si="30"/>
        <v>1292280275.0569091</v>
      </c>
      <c r="D121" s="1">
        <f t="shared" si="31"/>
        <v>1412834477.4831362</v>
      </c>
      <c r="E121" s="1">
        <f t="shared" si="24"/>
        <v>566802453.94309092</v>
      </c>
      <c r="F121" s="1">
        <f t="shared" si="25"/>
        <v>446248251.51686382</v>
      </c>
      <c r="G121" s="2">
        <f t="shared" si="26"/>
        <v>3.212650217959097E+17</v>
      </c>
      <c r="H121" s="2">
        <f t="shared" si="27"/>
        <v>1.9913750198185814E+17</v>
      </c>
      <c r="I121" s="3">
        <f t="shared" si="28"/>
        <v>0.30488285706789053</v>
      </c>
      <c r="J121" s="3">
        <f t="shared" si="29"/>
        <v>0.24003679048586538</v>
      </c>
    </row>
    <row r="122" spans="1:10" x14ac:dyDescent="0.3">
      <c r="A122" s="7">
        <v>44197</v>
      </c>
      <c r="B122" s="5">
        <v>2195700749</v>
      </c>
      <c r="C122" s="1">
        <f t="shared" si="30"/>
        <v>1405640765.8455274</v>
      </c>
      <c r="D122" s="1">
        <f t="shared" si="31"/>
        <v>1591333778.0898817</v>
      </c>
      <c r="E122" s="1">
        <f t="shared" si="24"/>
        <v>790059983.15447259</v>
      </c>
      <c r="F122" s="1">
        <f t="shared" si="25"/>
        <v>604366970.91011834</v>
      </c>
      <c r="G122" s="2">
        <f t="shared" si="26"/>
        <v>6.2419477698204557E+17</v>
      </c>
      <c r="H122" s="2">
        <f t="shared" si="27"/>
        <v>3.6525943552707181E+17</v>
      </c>
      <c r="I122" s="3">
        <f t="shared" si="28"/>
        <v>0.35982133882055373</v>
      </c>
      <c r="J122" s="3">
        <f t="shared" si="29"/>
        <v>0.27525015473322972</v>
      </c>
    </row>
    <row r="123" spans="1:10" x14ac:dyDescent="0.3">
      <c r="A123" s="7">
        <v>44228</v>
      </c>
      <c r="B123" s="5">
        <v>2212407266</v>
      </c>
      <c r="C123" s="1">
        <f t="shared" si="30"/>
        <v>1563652762.4764218</v>
      </c>
      <c r="D123" s="1">
        <f t="shared" si="31"/>
        <v>1833080566.4539289</v>
      </c>
      <c r="E123" s="1">
        <f t="shared" si="24"/>
        <v>648754503.52357817</v>
      </c>
      <c r="F123" s="1">
        <f t="shared" si="25"/>
        <v>379326699.54607105</v>
      </c>
      <c r="G123" s="2">
        <f t="shared" si="26"/>
        <v>4.2088240584212442E+17</v>
      </c>
      <c r="H123" s="2">
        <f t="shared" si="27"/>
        <v>1.4388874498851526E+17</v>
      </c>
      <c r="I123" s="3">
        <f t="shared" si="28"/>
        <v>0.29323466501559492</v>
      </c>
      <c r="J123" s="3">
        <f t="shared" si="29"/>
        <v>0.17145428211863006</v>
      </c>
    </row>
    <row r="124" spans="1:10" x14ac:dyDescent="0.3">
      <c r="A124" s="7">
        <v>44256</v>
      </c>
      <c r="B124" s="5">
        <v>2326526933</v>
      </c>
      <c r="C124" s="1">
        <f t="shared" si="30"/>
        <v>1693403663.1811376</v>
      </c>
      <c r="D124" s="1">
        <f t="shared" si="31"/>
        <v>1984811246.2723575</v>
      </c>
      <c r="E124" s="1">
        <f t="shared" si="24"/>
        <v>633123269.81886244</v>
      </c>
      <c r="F124" s="1">
        <f t="shared" si="25"/>
        <v>341715686.72764254</v>
      </c>
      <c r="G124" s="2">
        <f t="shared" si="26"/>
        <v>4.0084507478612806E+17</v>
      </c>
      <c r="H124" s="2">
        <f t="shared" si="27"/>
        <v>1.1676961055574434E+17</v>
      </c>
      <c r="I124" s="3">
        <f t="shared" si="28"/>
        <v>0.2721323621224816</v>
      </c>
      <c r="J124" s="3">
        <f t="shared" si="29"/>
        <v>0.14687802744970094</v>
      </c>
    </row>
    <row r="125" spans="1:10" x14ac:dyDescent="0.3">
      <c r="A125" s="7">
        <v>44287</v>
      </c>
      <c r="B125" s="5">
        <v>2278603143</v>
      </c>
      <c r="C125" s="1">
        <f t="shared" si="30"/>
        <v>1820028317.1449103</v>
      </c>
      <c r="D125" s="1">
        <f t="shared" si="31"/>
        <v>2121497520.9634144</v>
      </c>
      <c r="E125" s="1">
        <f t="shared" si="24"/>
        <v>458574825.85508966</v>
      </c>
      <c r="F125" s="1">
        <f t="shared" si="25"/>
        <v>157105622.03658557</v>
      </c>
      <c r="G125" s="2">
        <f t="shared" si="26"/>
        <v>2.1029087090802582E+17</v>
      </c>
      <c r="H125" s="2">
        <f t="shared" si="27"/>
        <v>2.468217647550248E+16</v>
      </c>
      <c r="I125" s="3">
        <f t="shared" si="28"/>
        <v>0.20125260832008326</v>
      </c>
      <c r="J125" s="3">
        <f t="shared" si="29"/>
        <v>6.8948216155684278E-2</v>
      </c>
    </row>
    <row r="126" spans="1:10" x14ac:dyDescent="0.3">
      <c r="A126" s="7">
        <v>44317</v>
      </c>
      <c r="B126" s="5">
        <v>2638482576</v>
      </c>
      <c r="C126" s="1">
        <f t="shared" si="30"/>
        <v>1911743282.3159285</v>
      </c>
      <c r="D126" s="1">
        <f t="shared" si="31"/>
        <v>2184339769.7780485</v>
      </c>
      <c r="E126" s="1">
        <f t="shared" si="24"/>
        <v>726739293.68407154</v>
      </c>
      <c r="F126" s="1">
        <f t="shared" si="25"/>
        <v>454142806.22195148</v>
      </c>
      <c r="G126" s="2">
        <f t="shared" si="26"/>
        <v>5.2815000098442317E+17</v>
      </c>
      <c r="H126" s="2">
        <f t="shared" si="27"/>
        <v>2.0624568844314899E+17</v>
      </c>
      <c r="I126" s="3">
        <f t="shared" si="28"/>
        <v>0.27543835244340514</v>
      </c>
      <c r="J126" s="3">
        <f t="shared" si="29"/>
        <v>0.17212272324740624</v>
      </c>
    </row>
    <row r="127" spans="1:10" x14ac:dyDescent="0.3">
      <c r="A127" s="7">
        <v>44348</v>
      </c>
      <c r="B127" s="5">
        <v>2991786668</v>
      </c>
      <c r="C127" s="1">
        <f t="shared" si="30"/>
        <v>2057091141.052743</v>
      </c>
      <c r="D127" s="1">
        <f t="shared" si="31"/>
        <v>2365996892.2668295</v>
      </c>
      <c r="E127" s="1">
        <f t="shared" si="24"/>
        <v>934695526.94725704</v>
      </c>
      <c r="F127" s="1">
        <f t="shared" si="25"/>
        <v>625789775.73317051</v>
      </c>
      <c r="G127" s="2">
        <f t="shared" si="26"/>
        <v>8.736557280952105E+17</v>
      </c>
      <c r="H127" s="2">
        <f t="shared" si="27"/>
        <v>3.9161284341217184E+17</v>
      </c>
      <c r="I127" s="3">
        <f t="shared" si="28"/>
        <v>0.31242051344927546</v>
      </c>
      <c r="J127" s="3">
        <f t="shared" si="29"/>
        <v>0.20916925074457565</v>
      </c>
    </row>
    <row r="128" spans="1:10" x14ac:dyDescent="0.3">
      <c r="A128" s="7">
        <v>44378</v>
      </c>
      <c r="B128" s="5">
        <v>3415123138</v>
      </c>
      <c r="C128" s="1">
        <f t="shared" si="30"/>
        <v>2244030246.4421945</v>
      </c>
      <c r="D128" s="1">
        <f t="shared" si="31"/>
        <v>2616312802.5600977</v>
      </c>
      <c r="E128" s="1">
        <f t="shared" si="24"/>
        <v>1171092891.5578055</v>
      </c>
      <c r="F128" s="1">
        <f t="shared" si="25"/>
        <v>798810335.43990231</v>
      </c>
      <c r="G128" s="2">
        <f t="shared" si="26"/>
        <v>1.3714585606572221E+18</v>
      </c>
      <c r="H128" s="2">
        <f t="shared" si="27"/>
        <v>6.3809795200560922E+17</v>
      </c>
      <c r="I128" s="3">
        <f t="shared" si="28"/>
        <v>0.34291381137244531</v>
      </c>
      <c r="J128" s="3">
        <f t="shared" si="29"/>
        <v>0.23390381639582986</v>
      </c>
    </row>
    <row r="129" spans="1:10" x14ac:dyDescent="0.3">
      <c r="A129" s="7">
        <v>44409</v>
      </c>
      <c r="B129" s="5">
        <v>3855049466</v>
      </c>
      <c r="C129" s="1">
        <f t="shared" si="30"/>
        <v>2478248824.7537556</v>
      </c>
      <c r="D129" s="1">
        <f t="shared" si="31"/>
        <v>2935836936.7360587</v>
      </c>
      <c r="E129" s="1">
        <f t="shared" si="24"/>
        <v>1376800641.2462444</v>
      </c>
      <c r="F129" s="1">
        <f t="shared" si="25"/>
        <v>919212529.26394129</v>
      </c>
      <c r="G129" s="2">
        <f t="shared" si="26"/>
        <v>1.8955800057360699E+18</v>
      </c>
      <c r="H129" s="2">
        <f t="shared" si="27"/>
        <v>8.449516739558121E+17</v>
      </c>
      <c r="I129" s="3">
        <f t="shared" si="28"/>
        <v>0.35714214652472748</v>
      </c>
      <c r="J129" s="3">
        <f t="shared" si="29"/>
        <v>0.23844377027351515</v>
      </c>
    </row>
    <row r="130" spans="1:10" x14ac:dyDescent="0.3">
      <c r="A130" s="7">
        <v>44440</v>
      </c>
      <c r="B130" s="5">
        <v>3897862783</v>
      </c>
      <c r="C130" s="1">
        <f t="shared" si="30"/>
        <v>2753608953.0030046</v>
      </c>
      <c r="D130" s="1">
        <f t="shared" si="31"/>
        <v>3303521948.4416351</v>
      </c>
      <c r="E130" s="1">
        <f t="shared" ref="E130:E161" si="32">ABS(B130-C130)</f>
        <v>1144253829.9969954</v>
      </c>
      <c r="F130" s="1">
        <f t="shared" ref="F130:F161" si="33">ABS(B130-D130)</f>
        <v>594340834.55836487</v>
      </c>
      <c r="G130" s="2">
        <f t="shared" ref="G130:G161" si="34">(B130-C130)^2</f>
        <v>1.309316827462793E+18</v>
      </c>
      <c r="H130" s="2">
        <f t="shared" ref="H130:H161" si="35">(B130-D130)^2</f>
        <v>3.5324102762353363E+17</v>
      </c>
      <c r="I130" s="3">
        <f t="shared" ref="I130:I161" si="36">E130/B130</f>
        <v>0.29355928971833062</v>
      </c>
      <c r="J130" s="3">
        <f t="shared" ref="J130:J161" si="37">F130/B130</f>
        <v>0.15247864474616751</v>
      </c>
    </row>
    <row r="131" spans="1:10" x14ac:dyDescent="0.3">
      <c r="A131" s="7">
        <v>44470</v>
      </c>
      <c r="B131" s="5">
        <v>3976051170</v>
      </c>
      <c r="C131" s="1">
        <f t="shared" ref="C131:C162" si="38">C$1*$B130+(1-C$1)*C130</f>
        <v>2982459719.0024037</v>
      </c>
      <c r="D131" s="1">
        <f t="shared" ref="D131:D162" si="39">D$1*$B130+(1-D$1)*D130</f>
        <v>3541258282.2649813</v>
      </c>
      <c r="E131" s="1">
        <f t="shared" si="32"/>
        <v>993591450.99759626</v>
      </c>
      <c r="F131" s="1">
        <f t="shared" si="33"/>
        <v>434792887.73501873</v>
      </c>
      <c r="G131" s="2">
        <f t="shared" si="34"/>
        <v>9.8722397149550874E+17</v>
      </c>
      <c r="H131" s="2">
        <f t="shared" si="35"/>
        <v>1.8904485522495661E+17</v>
      </c>
      <c r="I131" s="3">
        <f t="shared" si="36"/>
        <v>0.24989403016098413</v>
      </c>
      <c r="J131" s="3">
        <f t="shared" si="37"/>
        <v>0.10935294068034308</v>
      </c>
    </row>
    <row r="132" spans="1:10" x14ac:dyDescent="0.3">
      <c r="A132" s="7">
        <v>44501</v>
      </c>
      <c r="B132" s="5">
        <v>3897474585</v>
      </c>
      <c r="C132" s="1">
        <f t="shared" si="38"/>
        <v>3181178009.2019229</v>
      </c>
      <c r="D132" s="1">
        <f t="shared" si="39"/>
        <v>3715175437.3589888</v>
      </c>
      <c r="E132" s="1">
        <f t="shared" si="32"/>
        <v>716296575.79807711</v>
      </c>
      <c r="F132" s="1">
        <f t="shared" si="33"/>
        <v>182299147.64101124</v>
      </c>
      <c r="G132" s="2">
        <f t="shared" si="34"/>
        <v>5.1308078450005043E+17</v>
      </c>
      <c r="H132" s="2">
        <f t="shared" si="35"/>
        <v>3.3232979230639212E+16</v>
      </c>
      <c r="I132" s="3">
        <f t="shared" si="36"/>
        <v>0.1837847970978051</v>
      </c>
      <c r="J132" s="3">
        <f t="shared" si="37"/>
        <v>4.677365911316423E-2</v>
      </c>
    </row>
    <row r="133" spans="1:10" x14ac:dyDescent="0.3">
      <c r="A133" s="7">
        <v>44531</v>
      </c>
      <c r="B133" s="5">
        <v>3983456756</v>
      </c>
      <c r="C133" s="1">
        <f t="shared" si="38"/>
        <v>3324437324.3615384</v>
      </c>
      <c r="D133" s="1">
        <f t="shared" si="39"/>
        <v>3788095096.4153934</v>
      </c>
      <c r="E133" s="1">
        <f t="shared" si="32"/>
        <v>659019431.63846159</v>
      </c>
      <c r="F133" s="1">
        <f t="shared" si="33"/>
        <v>195361659.58460665</v>
      </c>
      <c r="G133" s="2">
        <f t="shared" si="34"/>
        <v>4.3430661127708096E+17</v>
      </c>
      <c r="H133" s="2">
        <f t="shared" si="35"/>
        <v>3.8166178035651728E+16</v>
      </c>
      <c r="I133" s="3">
        <f t="shared" si="36"/>
        <v>0.16543908268762478</v>
      </c>
      <c r="J133" s="3">
        <f t="shared" si="37"/>
        <v>4.9043248502785214E-2</v>
      </c>
    </row>
    <row r="134" spans="1:10" x14ac:dyDescent="0.3">
      <c r="A134" s="7">
        <v>44562</v>
      </c>
      <c r="B134" s="5">
        <v>4514151564</v>
      </c>
      <c r="C134" s="1">
        <f t="shared" si="38"/>
        <v>3456241210.6892309</v>
      </c>
      <c r="D134" s="1">
        <f t="shared" si="39"/>
        <v>3866239760.2492361</v>
      </c>
      <c r="E134" s="1">
        <f t="shared" si="32"/>
        <v>1057910353.3107691</v>
      </c>
      <c r="F134" s="1">
        <f t="shared" si="33"/>
        <v>647911803.75076389</v>
      </c>
      <c r="G134" s="2">
        <f t="shared" si="34"/>
        <v>1.1191743156421162E+18</v>
      </c>
      <c r="H134" s="2">
        <f t="shared" si="35"/>
        <v>4.1978970543956838E+17</v>
      </c>
      <c r="I134" s="3">
        <f t="shared" si="36"/>
        <v>0.2343541944288092</v>
      </c>
      <c r="J134" s="3">
        <f t="shared" si="37"/>
        <v>0.14352903188227198</v>
      </c>
    </row>
    <row r="135" spans="1:10" x14ac:dyDescent="0.3">
      <c r="A135" s="7">
        <v>44593</v>
      </c>
      <c r="B135" s="5">
        <v>4025509487</v>
      </c>
      <c r="C135" s="1">
        <f t="shared" si="38"/>
        <v>3667823281.3513851</v>
      </c>
      <c r="D135" s="1">
        <f t="shared" si="39"/>
        <v>4125404481.7495413</v>
      </c>
      <c r="E135" s="1">
        <f t="shared" si="32"/>
        <v>357686205.64861488</v>
      </c>
      <c r="F135" s="1">
        <f t="shared" si="33"/>
        <v>99894994.749541283</v>
      </c>
      <c r="G135" s="2">
        <f t="shared" si="34"/>
        <v>1.2793942171130322E+17</v>
      </c>
      <c r="H135" s="2">
        <f t="shared" si="35"/>
        <v>9979009976010880</v>
      </c>
      <c r="I135" s="3">
        <f t="shared" si="36"/>
        <v>8.8854890742085801E-2</v>
      </c>
      <c r="J135" s="3">
        <f t="shared" si="37"/>
        <v>2.4815491075637176E-2</v>
      </c>
    </row>
    <row r="136" spans="1:10" x14ac:dyDescent="0.3">
      <c r="A136" s="7">
        <v>44621</v>
      </c>
      <c r="B136" s="5">
        <v>4248997961</v>
      </c>
      <c r="C136" s="1">
        <f t="shared" si="38"/>
        <v>3739360522.4811082</v>
      </c>
      <c r="D136" s="1">
        <f t="shared" si="39"/>
        <v>4085446483.8497248</v>
      </c>
      <c r="E136" s="1">
        <f t="shared" si="32"/>
        <v>509637438.51889181</v>
      </c>
      <c r="F136" s="1">
        <f t="shared" si="33"/>
        <v>163551477.15027523</v>
      </c>
      <c r="G136" s="2">
        <f t="shared" si="34"/>
        <v>2.5973031874009722E+17</v>
      </c>
      <c r="H136" s="2">
        <f t="shared" si="35"/>
        <v>2.6749085678037E+16</v>
      </c>
      <c r="I136" s="3">
        <f t="shared" si="36"/>
        <v>0.11994297083610481</v>
      </c>
      <c r="J136" s="3">
        <f t="shared" si="37"/>
        <v>3.8491775861380612E-2</v>
      </c>
    </row>
    <row r="137" spans="1:10" x14ac:dyDescent="0.3">
      <c r="A137" s="7">
        <v>44652</v>
      </c>
      <c r="B137" s="5">
        <v>4041802182</v>
      </c>
      <c r="C137" s="1">
        <f t="shared" si="38"/>
        <v>3841288010.1848869</v>
      </c>
      <c r="D137" s="1">
        <f t="shared" si="39"/>
        <v>4150867074.7098351</v>
      </c>
      <c r="E137" s="1">
        <f t="shared" si="32"/>
        <v>200514171.81511307</v>
      </c>
      <c r="F137" s="1">
        <f t="shared" si="33"/>
        <v>109064892.70983505</v>
      </c>
      <c r="G137" s="2">
        <f t="shared" si="34"/>
        <v>4.020593309870068E+16</v>
      </c>
      <c r="H137" s="2">
        <f t="shared" si="35"/>
        <v>1.1895150821807832E+16</v>
      </c>
      <c r="I137" s="3">
        <f t="shared" si="36"/>
        <v>4.9610090446309991E-2</v>
      </c>
      <c r="J137" s="3">
        <f t="shared" si="37"/>
        <v>2.6984223323830908E-2</v>
      </c>
    </row>
    <row r="138" spans="1:10" x14ac:dyDescent="0.3">
      <c r="A138" s="7">
        <v>44682</v>
      </c>
      <c r="B138" s="5">
        <v>3967132108</v>
      </c>
      <c r="C138" s="1">
        <f t="shared" si="38"/>
        <v>3881390844.5479097</v>
      </c>
      <c r="D138" s="1">
        <f t="shared" si="39"/>
        <v>4107241117.6259012</v>
      </c>
      <c r="E138" s="1">
        <f t="shared" si="32"/>
        <v>85741263.452090263</v>
      </c>
      <c r="F138" s="1">
        <f t="shared" si="33"/>
        <v>140109009.62590122</v>
      </c>
      <c r="G138" s="2">
        <f t="shared" si="34"/>
        <v>7351564258360750</v>
      </c>
      <c r="H138" s="2">
        <f t="shared" si="35"/>
        <v>1.963053457835088E+16</v>
      </c>
      <c r="I138" s="3">
        <f t="shared" si="36"/>
        <v>2.1612908549021342E-2</v>
      </c>
      <c r="J138" s="3">
        <f t="shared" si="37"/>
        <v>3.5317454980478613E-2</v>
      </c>
    </row>
    <row r="139" spans="1:10" x14ac:dyDescent="0.3">
      <c r="A139" s="7">
        <v>44713</v>
      </c>
      <c r="B139" s="5">
        <v>4196674541</v>
      </c>
      <c r="C139" s="1">
        <f t="shared" si="38"/>
        <v>3898539097.238328</v>
      </c>
      <c r="D139" s="1">
        <f t="shared" si="39"/>
        <v>4051197513.7755404</v>
      </c>
      <c r="E139" s="1">
        <f t="shared" si="32"/>
        <v>298135443.76167202</v>
      </c>
      <c r="F139" s="1">
        <f t="shared" si="33"/>
        <v>145477027.22445965</v>
      </c>
      <c r="G139" s="2">
        <f t="shared" si="34"/>
        <v>8.8884742826969104E+16</v>
      </c>
      <c r="H139" s="2">
        <f t="shared" si="35"/>
        <v>2.1163565450066172E+16</v>
      </c>
      <c r="I139" s="3">
        <f t="shared" si="36"/>
        <v>7.1040877925842474E-2</v>
      </c>
      <c r="J139" s="3">
        <f t="shared" si="37"/>
        <v>3.466483421652107E-2</v>
      </c>
    </row>
    <row r="140" spans="1:10" x14ac:dyDescent="0.3">
      <c r="A140" s="7">
        <v>44743</v>
      </c>
      <c r="B140" s="5">
        <v>4133509174</v>
      </c>
      <c r="C140" s="1">
        <f t="shared" si="38"/>
        <v>3958166185.9906626</v>
      </c>
      <c r="D140" s="1">
        <f t="shared" si="39"/>
        <v>4109388324.6653242</v>
      </c>
      <c r="E140" s="1">
        <f t="shared" si="32"/>
        <v>175342988.00933743</v>
      </c>
      <c r="F140" s="1">
        <f t="shared" si="33"/>
        <v>24120849.334675789</v>
      </c>
      <c r="G140" s="2">
        <f t="shared" si="34"/>
        <v>3.0745163444042648E+16</v>
      </c>
      <c r="H140" s="2">
        <f t="shared" si="35"/>
        <v>581815372626129.5</v>
      </c>
      <c r="I140" s="3">
        <f t="shared" si="36"/>
        <v>4.2419886016524279E-2</v>
      </c>
      <c r="J140" s="3">
        <f t="shared" si="37"/>
        <v>5.8354411032633625E-3</v>
      </c>
    </row>
    <row r="141" spans="1:10" x14ac:dyDescent="0.3">
      <c r="A141" s="7">
        <v>44774</v>
      </c>
      <c r="B141" s="5">
        <v>3783663232</v>
      </c>
      <c r="C141" s="1">
        <f t="shared" si="38"/>
        <v>3993234783.5925303</v>
      </c>
      <c r="D141" s="1">
        <f t="shared" si="39"/>
        <v>4119036664.3991947</v>
      </c>
      <c r="E141" s="1">
        <f t="shared" si="32"/>
        <v>209571551.59253025</v>
      </c>
      <c r="F141" s="1">
        <f t="shared" si="33"/>
        <v>335373432.39919472</v>
      </c>
      <c r="G141" s="2">
        <f t="shared" si="34"/>
        <v>4.3920235236900568E+16</v>
      </c>
      <c r="H141" s="2">
        <f t="shared" si="35"/>
        <v>1.1247533915921723E+17</v>
      </c>
      <c r="I141" s="3">
        <f t="shared" si="36"/>
        <v>5.5388531891553461E-2</v>
      </c>
      <c r="J141" s="3">
        <f t="shared" si="37"/>
        <v>8.8637231126386551E-2</v>
      </c>
    </row>
    <row r="142" spans="1:10" x14ac:dyDescent="0.3">
      <c r="A142" s="7">
        <v>44805</v>
      </c>
      <c r="B142" s="5">
        <v>3098017092</v>
      </c>
      <c r="C142" s="1">
        <f t="shared" si="38"/>
        <v>3951320473.2740245</v>
      </c>
      <c r="D142" s="1">
        <f t="shared" si="39"/>
        <v>3984887291.439517</v>
      </c>
      <c r="E142" s="1">
        <f t="shared" si="32"/>
        <v>853303381.27402449</v>
      </c>
      <c r="F142" s="1">
        <f t="shared" si="33"/>
        <v>886870199.43951702</v>
      </c>
      <c r="G142" s="2">
        <f t="shared" si="34"/>
        <v>7.281266604936832E+17</v>
      </c>
      <c r="H142" s="2">
        <f t="shared" si="35"/>
        <v>7.8653875065388864E+17</v>
      </c>
      <c r="I142" s="3">
        <f t="shared" si="36"/>
        <v>0.27543533684094484</v>
      </c>
      <c r="J142" s="3">
        <f t="shared" si="37"/>
        <v>0.286270273243385</v>
      </c>
    </row>
    <row r="143" spans="1:10" x14ac:dyDescent="0.3">
      <c r="A143" s="7">
        <v>44835</v>
      </c>
      <c r="B143" s="5">
        <v>2647099346</v>
      </c>
      <c r="C143" s="1">
        <f t="shared" si="38"/>
        <v>3780659797.0192199</v>
      </c>
      <c r="D143" s="1">
        <f t="shared" si="39"/>
        <v>3630139211.6637096</v>
      </c>
      <c r="E143" s="1">
        <f t="shared" si="32"/>
        <v>1133560451.0192199</v>
      </c>
      <c r="F143" s="1">
        <f t="shared" si="33"/>
        <v>983039865.66370964</v>
      </c>
      <c r="G143" s="2">
        <f t="shared" si="34"/>
        <v>1.2849592961148972E+18</v>
      </c>
      <c r="H143" s="2">
        <f t="shared" si="35"/>
        <v>9.6636737748412429E+17</v>
      </c>
      <c r="I143" s="3">
        <f t="shared" si="36"/>
        <v>0.4282273926485341</v>
      </c>
      <c r="J143" s="3">
        <f t="shared" si="37"/>
        <v>0.37136493088148331</v>
      </c>
    </row>
    <row r="144" spans="1:10" x14ac:dyDescent="0.3">
      <c r="A144" s="7">
        <v>44866</v>
      </c>
      <c r="B144" s="5">
        <v>2183396256</v>
      </c>
      <c r="C144" s="1">
        <f t="shared" si="38"/>
        <v>3553947706.8153763</v>
      </c>
      <c r="D144" s="1">
        <f t="shared" si="39"/>
        <v>3236923265.3982258</v>
      </c>
      <c r="E144" s="1">
        <f t="shared" si="32"/>
        <v>1370551450.8153763</v>
      </c>
      <c r="F144" s="1">
        <f t="shared" si="33"/>
        <v>1053527009.3982258</v>
      </c>
      <c r="G144" s="2">
        <f t="shared" si="34"/>
        <v>1.8784112793321329E+18</v>
      </c>
      <c r="H144" s="2">
        <f t="shared" si="35"/>
        <v>1.1099191595315693E+18</v>
      </c>
      <c r="I144" s="3">
        <f t="shared" si="36"/>
        <v>0.62771539845279289</v>
      </c>
      <c r="J144" s="3">
        <f t="shared" si="37"/>
        <v>0.48251754875145569</v>
      </c>
    </row>
    <row r="145" spans="1:10" x14ac:dyDescent="0.3">
      <c r="A145" s="7">
        <v>44896</v>
      </c>
      <c r="B145" s="5">
        <v>1857201428</v>
      </c>
      <c r="C145" s="1">
        <f t="shared" si="38"/>
        <v>3279837416.6523008</v>
      </c>
      <c r="D145" s="1">
        <f t="shared" si="39"/>
        <v>2815512461.6389356</v>
      </c>
      <c r="E145" s="1">
        <f t="shared" si="32"/>
        <v>1422635988.6523008</v>
      </c>
      <c r="F145" s="1">
        <f t="shared" si="33"/>
        <v>958311033.63893557</v>
      </c>
      <c r="G145" s="2">
        <f t="shared" si="34"/>
        <v>2.0238931562087094E+18</v>
      </c>
      <c r="H145" s="2">
        <f t="shared" si="35"/>
        <v>9.1836003719412506E+17</v>
      </c>
      <c r="I145" s="3">
        <f t="shared" si="36"/>
        <v>0.76601060456017522</v>
      </c>
      <c r="J145" s="3">
        <f t="shared" si="37"/>
        <v>0.51599735989376783</v>
      </c>
    </row>
    <row r="146" spans="1:10" x14ac:dyDescent="0.3">
      <c r="A146" s="7">
        <v>44927</v>
      </c>
      <c r="B146" s="5">
        <v>1591138738</v>
      </c>
      <c r="C146" s="1">
        <f t="shared" si="38"/>
        <v>2995310218.9218407</v>
      </c>
      <c r="D146" s="1">
        <f t="shared" si="39"/>
        <v>2432188048.1833611</v>
      </c>
      <c r="E146" s="1">
        <f t="shared" si="32"/>
        <v>1404171480.9218407</v>
      </c>
      <c r="F146" s="1">
        <f t="shared" si="33"/>
        <v>841049310.18336105</v>
      </c>
      <c r="G146" s="2">
        <f t="shared" si="34"/>
        <v>1.9716975478342351E+18</v>
      </c>
      <c r="H146" s="2">
        <f t="shared" si="35"/>
        <v>7.0736394215990746E+17</v>
      </c>
      <c r="I146" s="3">
        <f t="shared" si="36"/>
        <v>0.88249468596737835</v>
      </c>
      <c r="J146" s="3">
        <f t="shared" si="37"/>
        <v>0.52858326561801117</v>
      </c>
    </row>
    <row r="147" spans="1:10" x14ac:dyDescent="0.3">
      <c r="A147" s="7">
        <v>44958</v>
      </c>
      <c r="B147" s="5">
        <v>1235971039</v>
      </c>
      <c r="C147" s="1">
        <f t="shared" si="38"/>
        <v>2714475922.7374725</v>
      </c>
      <c r="D147" s="1">
        <f t="shared" si="39"/>
        <v>2095768324.1100166</v>
      </c>
      <c r="E147" s="1">
        <f t="shared" si="32"/>
        <v>1478504883.7374725</v>
      </c>
      <c r="F147" s="1">
        <f t="shared" si="33"/>
        <v>859797285.11001658</v>
      </c>
      <c r="G147" s="2">
        <f t="shared" si="34"/>
        <v>2.1859766912355571E+18</v>
      </c>
      <c r="H147" s="2">
        <f t="shared" si="35"/>
        <v>7.3925137148255514E+17</v>
      </c>
      <c r="I147" s="3">
        <f t="shared" si="36"/>
        <v>1.196229391372877</v>
      </c>
      <c r="J147" s="3">
        <f t="shared" si="37"/>
        <v>0.6956451712700823</v>
      </c>
    </row>
    <row r="148" spans="1:10" x14ac:dyDescent="0.3">
      <c r="A148" s="7">
        <v>44986</v>
      </c>
      <c r="B148" s="5">
        <v>1425650479</v>
      </c>
      <c r="C148" s="1">
        <f t="shared" si="38"/>
        <v>2418774945.9899783</v>
      </c>
      <c r="D148" s="1">
        <f t="shared" si="39"/>
        <v>1751849410.06601</v>
      </c>
      <c r="E148" s="1">
        <f t="shared" si="32"/>
        <v>993124466.98997831</v>
      </c>
      <c r="F148" s="1">
        <f t="shared" si="33"/>
        <v>326198931.06601</v>
      </c>
      <c r="G148" s="2">
        <f t="shared" si="34"/>
        <v>9.8629620693412851E+17</v>
      </c>
      <c r="H148" s="2">
        <f t="shared" si="35"/>
        <v>1.0640574262860754E+17</v>
      </c>
      <c r="I148" s="3">
        <f t="shared" si="36"/>
        <v>0.69661146376255545</v>
      </c>
      <c r="J148" s="3">
        <f t="shared" si="37"/>
        <v>0.22880708551707363</v>
      </c>
    </row>
    <row r="149" spans="1:10" x14ac:dyDescent="0.3">
      <c r="A149" s="7">
        <v>45017</v>
      </c>
      <c r="B149" s="5">
        <v>1357942393</v>
      </c>
      <c r="C149" s="1">
        <f t="shared" si="38"/>
        <v>2220150052.5919828</v>
      </c>
      <c r="D149" s="1">
        <f t="shared" si="39"/>
        <v>1621369837.639606</v>
      </c>
      <c r="E149" s="1">
        <f t="shared" si="32"/>
        <v>862207659.59198284</v>
      </c>
      <c r="F149" s="1">
        <f t="shared" si="33"/>
        <v>263427444.639606</v>
      </c>
      <c r="G149" s="2">
        <f t="shared" si="34"/>
        <v>7.4340204825908454E+17</v>
      </c>
      <c r="H149" s="2">
        <f t="shared" si="35"/>
        <v>6.939401858935268E+16</v>
      </c>
      <c r="I149" s="3">
        <f t="shared" si="36"/>
        <v>0.63493684565452901</v>
      </c>
      <c r="J149" s="3">
        <f t="shared" si="37"/>
        <v>0.19399014715023041</v>
      </c>
    </row>
    <row r="150" spans="1:10" x14ac:dyDescent="0.3">
      <c r="A150" s="7">
        <v>45047</v>
      </c>
      <c r="B150" s="5">
        <v>1388294072</v>
      </c>
      <c r="C150" s="1">
        <f t="shared" si="38"/>
        <v>2047708520.6735864</v>
      </c>
      <c r="D150" s="1">
        <f t="shared" si="39"/>
        <v>1515998859.7837636</v>
      </c>
      <c r="E150" s="1">
        <f t="shared" si="32"/>
        <v>659414448.67358637</v>
      </c>
      <c r="F150" s="1">
        <f t="shared" si="33"/>
        <v>127704787.78376365</v>
      </c>
      <c r="G150" s="2">
        <f t="shared" si="34"/>
        <v>4.3482741511948986E+17</v>
      </c>
      <c r="H150" s="2">
        <f t="shared" si="35"/>
        <v>1.6308512822896108E+16</v>
      </c>
      <c r="I150" s="3">
        <f t="shared" si="36"/>
        <v>0.47498182263619604</v>
      </c>
      <c r="J150" s="3">
        <f t="shared" si="37"/>
        <v>9.1986842239980146E-2</v>
      </c>
    </row>
    <row r="151" spans="1:10" x14ac:dyDescent="0.3">
      <c r="A151" s="7">
        <v>45078</v>
      </c>
      <c r="B151" s="5">
        <v>1386000649</v>
      </c>
      <c r="C151" s="1">
        <f t="shared" si="38"/>
        <v>1915825630.9388692</v>
      </c>
      <c r="D151" s="1">
        <f t="shared" si="39"/>
        <v>1464916944.6702583</v>
      </c>
      <c r="E151" s="1">
        <f t="shared" si="32"/>
        <v>529824981.93886924</v>
      </c>
      <c r="F151" s="1">
        <f t="shared" si="33"/>
        <v>78916295.670258284</v>
      </c>
      <c r="G151" s="2">
        <f t="shared" si="34"/>
        <v>2.807145114865231E+17</v>
      </c>
      <c r="H151" s="2">
        <f t="shared" si="35"/>
        <v>6227781722315626</v>
      </c>
      <c r="I151" s="3">
        <f t="shared" si="36"/>
        <v>0.38226892773905852</v>
      </c>
      <c r="J151" s="3">
        <f t="shared" si="37"/>
        <v>5.6938137602746741E-2</v>
      </c>
    </row>
    <row r="152" spans="1:10" x14ac:dyDescent="0.3">
      <c r="A152" s="7">
        <v>45108</v>
      </c>
      <c r="B152" s="5">
        <v>1381770599</v>
      </c>
      <c r="C152" s="1">
        <f t="shared" si="38"/>
        <v>1809860634.5510955</v>
      </c>
      <c r="D152" s="1">
        <f t="shared" si="39"/>
        <v>1433350426.4021549</v>
      </c>
      <c r="E152" s="1">
        <f t="shared" si="32"/>
        <v>428090035.55109549</v>
      </c>
      <c r="F152" s="1">
        <f t="shared" si="33"/>
        <v>51579827.402154922</v>
      </c>
      <c r="G152" s="2">
        <f t="shared" si="34"/>
        <v>1.8326107853813821E+17</v>
      </c>
      <c r="H152" s="2">
        <f t="shared" si="35"/>
        <v>2660478594836092</v>
      </c>
      <c r="I152" s="3">
        <f t="shared" si="36"/>
        <v>0.30981266779080996</v>
      </c>
      <c r="J152" s="3">
        <f t="shared" si="37"/>
        <v>3.7328792087111796E-2</v>
      </c>
    </row>
    <row r="153" spans="1:10" x14ac:dyDescent="0.3">
      <c r="A153" s="7">
        <v>45139</v>
      </c>
      <c r="B153" s="5">
        <v>1436576298</v>
      </c>
      <c r="C153" s="1">
        <f t="shared" si="38"/>
        <v>1724242627.4408765</v>
      </c>
      <c r="D153" s="1">
        <f t="shared" si="39"/>
        <v>1412718495.441293</v>
      </c>
      <c r="E153" s="1">
        <f t="shared" si="32"/>
        <v>287666329.44087648</v>
      </c>
      <c r="F153" s="1">
        <f t="shared" si="33"/>
        <v>23857802.558706999</v>
      </c>
      <c r="G153" s="2">
        <f t="shared" si="34"/>
        <v>8.275191709398688E+16</v>
      </c>
      <c r="H153" s="2">
        <f t="shared" si="35"/>
        <v>569194742930246.25</v>
      </c>
      <c r="I153" s="3">
        <f t="shared" si="36"/>
        <v>0.20024437953025206</v>
      </c>
      <c r="J153" s="3">
        <f t="shared" si="37"/>
        <v>1.6607403722253951E-2</v>
      </c>
    </row>
    <row r="154" spans="1:10" x14ac:dyDescent="0.3">
      <c r="A154" s="7">
        <v>45170</v>
      </c>
      <c r="B154" s="5">
        <v>1402780189</v>
      </c>
      <c r="C154" s="1">
        <f t="shared" si="38"/>
        <v>1666709361.5527015</v>
      </c>
      <c r="D154" s="1">
        <f t="shared" si="39"/>
        <v>1422261616.4647758</v>
      </c>
      <c r="E154" s="1">
        <f t="shared" si="32"/>
        <v>263929172.55270147</v>
      </c>
      <c r="F154" s="1">
        <f t="shared" si="33"/>
        <v>19481427.464775801</v>
      </c>
      <c r="G154" s="2">
        <f t="shared" si="34"/>
        <v>6.9658608124353672E+16</v>
      </c>
      <c r="H154" s="2">
        <f t="shared" si="35"/>
        <v>379526016065320.88</v>
      </c>
      <c r="I154" s="3">
        <f t="shared" si="36"/>
        <v>0.1881472055439054</v>
      </c>
      <c r="J154" s="3">
        <f t="shared" si="37"/>
        <v>1.3887726400430225E-2</v>
      </c>
    </row>
    <row r="155" spans="1:10" x14ac:dyDescent="0.3">
      <c r="A155" s="7">
        <v>45200</v>
      </c>
      <c r="B155" s="5">
        <v>1383704752</v>
      </c>
      <c r="C155" s="1">
        <f t="shared" si="38"/>
        <v>1613923527.0421612</v>
      </c>
      <c r="D155" s="1">
        <f t="shared" si="39"/>
        <v>1414469045.4788656</v>
      </c>
      <c r="E155" s="1">
        <f t="shared" si="32"/>
        <v>230218775.04216123</v>
      </c>
      <c r="F155" s="1">
        <f t="shared" si="33"/>
        <v>30764293.478865623</v>
      </c>
      <c r="G155" s="2">
        <f t="shared" si="34"/>
        <v>5.300068438191324E+16</v>
      </c>
      <c r="H155" s="2">
        <f t="shared" si="35"/>
        <v>946441753253773.88</v>
      </c>
      <c r="I155" s="3">
        <f t="shared" si="36"/>
        <v>0.16637853899786365</v>
      </c>
      <c r="J155" s="3">
        <f t="shared" si="37"/>
        <v>2.2233278764417819E-2</v>
      </c>
    </row>
    <row r="156" spans="1:10" x14ac:dyDescent="0.3">
      <c r="A156" s="7">
        <v>45231</v>
      </c>
      <c r="B156" s="5">
        <v>1348412522</v>
      </c>
      <c r="C156" s="1">
        <f t="shared" si="38"/>
        <v>1567879772.0337291</v>
      </c>
      <c r="D156" s="1">
        <f t="shared" si="39"/>
        <v>1402163328.0873194</v>
      </c>
      <c r="E156" s="1">
        <f t="shared" si="32"/>
        <v>219467250.03372908</v>
      </c>
      <c r="F156" s="1">
        <f t="shared" si="33"/>
        <v>53750806.087319374</v>
      </c>
      <c r="G156" s="2">
        <f t="shared" si="34"/>
        <v>4.8165873837367352E+16</v>
      </c>
      <c r="H156" s="2">
        <f t="shared" si="35"/>
        <v>2889149155036609.5</v>
      </c>
      <c r="I156" s="3">
        <f t="shared" si="36"/>
        <v>0.16275972408518546</v>
      </c>
      <c r="J156" s="3">
        <f t="shared" si="37"/>
        <v>3.9862286362926089E-2</v>
      </c>
    </row>
    <row r="157" spans="1:10" x14ac:dyDescent="0.3">
      <c r="A157" s="7">
        <v>45261</v>
      </c>
      <c r="B157" s="5">
        <v>1333721396</v>
      </c>
      <c r="C157" s="1">
        <f t="shared" si="38"/>
        <v>1523986322.0269835</v>
      </c>
      <c r="D157" s="1">
        <f t="shared" si="39"/>
        <v>1380663005.6523917</v>
      </c>
      <c r="E157" s="1">
        <f t="shared" si="32"/>
        <v>190264926.0269835</v>
      </c>
      <c r="F157" s="1">
        <f t="shared" si="33"/>
        <v>46941609.652391672</v>
      </c>
      <c r="G157" s="2">
        <f t="shared" si="34"/>
        <v>3.6200742076053504E+16</v>
      </c>
      <c r="H157" s="2">
        <f t="shared" si="35"/>
        <v>2203514716757511</v>
      </c>
      <c r="I157" s="3">
        <f t="shared" si="36"/>
        <v>0.14265717457754834</v>
      </c>
      <c r="J157" s="3">
        <f t="shared" si="37"/>
        <v>3.5195963559687599E-2</v>
      </c>
    </row>
    <row r="158" spans="1:10" x14ac:dyDescent="0.3">
      <c r="A158" s="7">
        <v>45292</v>
      </c>
      <c r="B158" s="5">
        <v>1611023862</v>
      </c>
      <c r="C158" s="1">
        <f t="shared" si="38"/>
        <v>1485933336.8215868</v>
      </c>
      <c r="D158" s="1">
        <f t="shared" si="39"/>
        <v>1361886361.791435</v>
      </c>
      <c r="E158" s="1">
        <f t="shared" si="32"/>
        <v>125090525.17841315</v>
      </c>
      <c r="F158" s="1">
        <f t="shared" si="33"/>
        <v>249137500.208565</v>
      </c>
      <c r="G158" s="2">
        <f t="shared" si="34"/>
        <v>1.5647639489411214E+16</v>
      </c>
      <c r="H158" s="2">
        <f t="shared" si="35"/>
        <v>6.206949401017272E+16</v>
      </c>
      <c r="I158" s="3">
        <f t="shared" si="36"/>
        <v>7.7646599860488691E-2</v>
      </c>
      <c r="J158" s="3">
        <f t="shared" si="37"/>
        <v>0.15464544386032503</v>
      </c>
    </row>
    <row r="159" spans="1:10" x14ac:dyDescent="0.3">
      <c r="A159" s="7">
        <v>45323</v>
      </c>
      <c r="B159" s="5">
        <v>1675307061</v>
      </c>
      <c r="C159" s="1">
        <f t="shared" si="38"/>
        <v>1510951441.8572695</v>
      </c>
      <c r="D159" s="1">
        <f t="shared" si="39"/>
        <v>1461541361.874861</v>
      </c>
      <c r="E159" s="1">
        <f t="shared" si="32"/>
        <v>164355619.14273047</v>
      </c>
      <c r="F159" s="1">
        <f t="shared" si="33"/>
        <v>213765699.125139</v>
      </c>
      <c r="G159" s="2">
        <f t="shared" si="34"/>
        <v>2.7012769543790272E+16</v>
      </c>
      <c r="H159" s="2">
        <f t="shared" si="35"/>
        <v>4.5695774122459448E+16</v>
      </c>
      <c r="I159" s="3">
        <f t="shared" si="36"/>
        <v>9.8104773130142306E-2</v>
      </c>
      <c r="J159" s="3">
        <f t="shared" si="37"/>
        <v>0.12759792165953213</v>
      </c>
    </row>
    <row r="160" spans="1:10" x14ac:dyDescent="0.3">
      <c r="A160" s="7">
        <v>45352</v>
      </c>
      <c r="B160" s="5">
        <v>1747846324</v>
      </c>
      <c r="C160" s="1">
        <f t="shared" si="38"/>
        <v>1543822565.6858158</v>
      </c>
      <c r="D160" s="1">
        <f t="shared" si="39"/>
        <v>1547047641.5249166</v>
      </c>
      <c r="E160" s="1">
        <f t="shared" si="32"/>
        <v>204023758.31418419</v>
      </c>
      <c r="F160" s="1">
        <f t="shared" si="33"/>
        <v>200798682.47508335</v>
      </c>
      <c r="G160" s="2">
        <f t="shared" si="34"/>
        <v>4.162569395664464E+16</v>
      </c>
      <c r="H160" s="2">
        <f t="shared" si="35"/>
        <v>4.0320110883729344E+16</v>
      </c>
      <c r="I160" s="3">
        <f t="shared" si="36"/>
        <v>0.11672865944373734</v>
      </c>
      <c r="J160" s="3">
        <f t="shared" si="37"/>
        <v>0.1148834881636215</v>
      </c>
    </row>
    <row r="161" spans="1:10" x14ac:dyDescent="0.3">
      <c r="A161" s="7">
        <v>45383</v>
      </c>
      <c r="B161" s="5">
        <v>1839732455</v>
      </c>
      <c r="C161" s="1">
        <f t="shared" si="38"/>
        <v>1584627317.3486526</v>
      </c>
      <c r="D161" s="1">
        <f t="shared" si="39"/>
        <v>1627367114.51495</v>
      </c>
      <c r="E161" s="1">
        <f t="shared" si="32"/>
        <v>255105137.6513474</v>
      </c>
      <c r="F161" s="1">
        <f t="shared" si="33"/>
        <v>212365340.48504996</v>
      </c>
      <c r="G161" s="2">
        <f t="shared" si="34"/>
        <v>6.5078631256112904E+16</v>
      </c>
      <c r="H161" s="2">
        <f t="shared" si="35"/>
        <v>4.50990378393312E+16</v>
      </c>
      <c r="I161" s="3">
        <f t="shared" si="36"/>
        <v>0.13866425901115464</v>
      </c>
      <c r="J161" s="3">
        <f t="shared" si="37"/>
        <v>0.11543273039940471</v>
      </c>
    </row>
    <row r="162" spans="1:10" x14ac:dyDescent="0.3">
      <c r="A162" s="7">
        <v>45413</v>
      </c>
      <c r="B162" s="5">
        <v>1956918811</v>
      </c>
      <c r="C162" s="1">
        <f t="shared" si="38"/>
        <v>1635648344.8789222</v>
      </c>
      <c r="D162" s="1">
        <f t="shared" si="39"/>
        <v>1712313250.7089701</v>
      </c>
      <c r="E162" s="1">
        <f t="shared" ref="E162:E181" si="40">ABS(B162-C162)</f>
        <v>321270466.12107778</v>
      </c>
      <c r="F162" s="1">
        <f t="shared" ref="F162:F181" si="41">ABS(B162-D162)</f>
        <v>244605560.29102993</v>
      </c>
      <c r="G162" s="2">
        <f t="shared" ref="G162:G181" si="42">(B162-C162)^2</f>
        <v>1.0321471240165458E+17</v>
      </c>
      <c r="H162" s="2">
        <f t="shared" ref="H162:H181" si="43">(B162-D162)^2</f>
        <v>5.983188012528868E+16</v>
      </c>
      <c r="I162" s="3">
        <f t="shared" ref="I162:I181" si="44">E162/B162</f>
        <v>0.1641715866367017</v>
      </c>
      <c r="J162" s="3">
        <f t="shared" ref="J162:J181" si="45">F162/B162</f>
        <v>0.12499525218730698</v>
      </c>
    </row>
    <row r="163" spans="1:10" x14ac:dyDescent="0.3">
      <c r="A163" s="7">
        <v>45444</v>
      </c>
      <c r="B163" s="5">
        <v>2578214483</v>
      </c>
      <c r="C163" s="1">
        <f t="shared" ref="C163:C181" si="46">C$1*$B162+(1-C$1)*C162</f>
        <v>1699902438.103138</v>
      </c>
      <c r="D163" s="1">
        <f t="shared" ref="D163:D181" si="47">D$1*$B162+(1-D$1)*D162</f>
        <v>1810155474.8253822</v>
      </c>
      <c r="E163" s="1">
        <f t="shared" si="40"/>
        <v>878312044.89686203</v>
      </c>
      <c r="F163" s="1">
        <f t="shared" si="41"/>
        <v>768059008.17461777</v>
      </c>
      <c r="G163" s="2">
        <f t="shared" si="42"/>
        <v>7.7143204821090739E+17</v>
      </c>
      <c r="H163" s="2">
        <f t="shared" si="43"/>
        <v>5.8991464003817754E+17</v>
      </c>
      <c r="I163" s="3">
        <f t="shared" si="44"/>
        <v>0.3406667873011332</v>
      </c>
      <c r="J163" s="3">
        <f t="shared" si="45"/>
        <v>0.29790345731085466</v>
      </c>
    </row>
    <row r="164" spans="1:10" x14ac:dyDescent="0.3">
      <c r="A164" s="7">
        <v>45474</v>
      </c>
      <c r="B164" s="5">
        <v>3061656202</v>
      </c>
      <c r="C164" s="1">
        <f t="shared" si="46"/>
        <v>1875564847.0825105</v>
      </c>
      <c r="D164" s="1">
        <f t="shared" si="47"/>
        <v>2117379078.0952294</v>
      </c>
      <c r="E164" s="1">
        <f t="shared" si="40"/>
        <v>1186091354.9174895</v>
      </c>
      <c r="F164" s="1">
        <f t="shared" si="41"/>
        <v>944277123.90477061</v>
      </c>
      <c r="G164" s="2">
        <f t="shared" si="42"/>
        <v>1.406812702210006E+18</v>
      </c>
      <c r="H164" s="2">
        <f t="shared" si="43"/>
        <v>8.9165928672986547E+17</v>
      </c>
      <c r="I164" s="3">
        <f t="shared" si="44"/>
        <v>0.38740187554131184</v>
      </c>
      <c r="J164" s="3">
        <f t="shared" si="45"/>
        <v>0.30842036518924948</v>
      </c>
    </row>
    <row r="165" spans="1:10" x14ac:dyDescent="0.3">
      <c r="A165" s="7">
        <v>45505</v>
      </c>
      <c r="B165" s="5">
        <v>3065907209</v>
      </c>
      <c r="C165" s="1">
        <f t="shared" si="46"/>
        <v>2112783118.0660086</v>
      </c>
      <c r="D165" s="1">
        <f t="shared" si="47"/>
        <v>2495089927.6571379</v>
      </c>
      <c r="E165" s="1">
        <f t="shared" si="40"/>
        <v>953124090.93399143</v>
      </c>
      <c r="F165" s="1">
        <f t="shared" si="41"/>
        <v>570817281.34286213</v>
      </c>
      <c r="G165" s="2">
        <f t="shared" si="42"/>
        <v>9.0844553271874752E+17</v>
      </c>
      <c r="H165" s="2">
        <f t="shared" si="43"/>
        <v>3.2583236867965619E+17</v>
      </c>
      <c r="I165" s="3">
        <f t="shared" si="44"/>
        <v>0.3108783227803133</v>
      </c>
      <c r="J165" s="3">
        <f t="shared" si="45"/>
        <v>0.18618217787779831</v>
      </c>
    </row>
    <row r="166" spans="1:10" x14ac:dyDescent="0.3">
      <c r="A166" s="7">
        <v>45536</v>
      </c>
      <c r="B166" s="5">
        <v>2540128221</v>
      </c>
      <c r="C166" s="1">
        <f t="shared" si="46"/>
        <v>2303407936.2528071</v>
      </c>
      <c r="D166" s="1">
        <f t="shared" si="47"/>
        <v>2723416840.1942825</v>
      </c>
      <c r="E166" s="1">
        <f t="shared" si="40"/>
        <v>236720284.74719286</v>
      </c>
      <c r="F166" s="1">
        <f t="shared" si="41"/>
        <v>183288619.19428253</v>
      </c>
      <c r="G166" s="2">
        <f t="shared" si="42"/>
        <v>5.6036493210792072E+16</v>
      </c>
      <c r="H166" s="2">
        <f t="shared" si="43"/>
        <v>3.3594717926146716E+16</v>
      </c>
      <c r="I166" s="3">
        <f t="shared" si="44"/>
        <v>9.3192258087664806E-2</v>
      </c>
      <c r="J166" s="3">
        <f t="shared" si="45"/>
        <v>7.2157231150372911E-2</v>
      </c>
    </row>
    <row r="167" spans="1:10" x14ac:dyDescent="0.3">
      <c r="A167" s="7">
        <v>45566</v>
      </c>
      <c r="B167" s="5">
        <v>2315091578</v>
      </c>
      <c r="C167" s="1">
        <f t="shared" si="46"/>
        <v>2350751993.2022457</v>
      </c>
      <c r="D167" s="1">
        <f t="shared" si="47"/>
        <v>2650101392.5165696</v>
      </c>
      <c r="E167" s="1">
        <f t="shared" si="40"/>
        <v>35660415.202245712</v>
      </c>
      <c r="F167" s="1">
        <f t="shared" si="41"/>
        <v>335009814.51656961</v>
      </c>
      <c r="G167" s="2">
        <f t="shared" si="42"/>
        <v>1271665212396557</v>
      </c>
      <c r="H167" s="2">
        <f t="shared" si="43"/>
        <v>1.1223157582242638E+17</v>
      </c>
      <c r="I167" s="3">
        <f t="shared" si="44"/>
        <v>1.5403457703842813E-2</v>
      </c>
      <c r="J167" s="3">
        <f t="shared" si="45"/>
        <v>0.14470693846417232</v>
      </c>
    </row>
    <row r="168" spans="1:10" x14ac:dyDescent="0.3">
      <c r="A168" s="7">
        <v>45597</v>
      </c>
      <c r="B168" s="5">
        <v>2070071746</v>
      </c>
      <c r="C168" s="1">
        <f t="shared" si="46"/>
        <v>2343619910.1617966</v>
      </c>
      <c r="D168" s="1">
        <f t="shared" si="47"/>
        <v>2516097466.7099419</v>
      </c>
      <c r="E168" s="1">
        <f t="shared" si="40"/>
        <v>273548164.16179657</v>
      </c>
      <c r="F168" s="1">
        <f t="shared" si="41"/>
        <v>446025720.70994186</v>
      </c>
      <c r="G168" s="2">
        <f t="shared" si="42"/>
        <v>7.48285981162892E+16</v>
      </c>
      <c r="H168" s="2">
        <f t="shared" si="43"/>
        <v>1.9893894353482307E+17</v>
      </c>
      <c r="I168" s="3">
        <f t="shared" si="44"/>
        <v>0.13214429146737244</v>
      </c>
      <c r="J168" s="3">
        <f t="shared" si="45"/>
        <v>0.21546389470403499</v>
      </c>
    </row>
    <row r="169" spans="1:10" x14ac:dyDescent="0.3">
      <c r="A169" s="7">
        <v>45627</v>
      </c>
      <c r="B169" s="5">
        <v>2142035611</v>
      </c>
      <c r="C169" s="1">
        <f t="shared" si="46"/>
        <v>2288910277.3294373</v>
      </c>
      <c r="D169" s="1">
        <f t="shared" si="47"/>
        <v>2337687178.4259653</v>
      </c>
      <c r="E169" s="1">
        <f t="shared" si="40"/>
        <v>146874666.32943726</v>
      </c>
      <c r="F169" s="1">
        <f t="shared" si="41"/>
        <v>195651567.42596531</v>
      </c>
      <c r="G169" s="2">
        <f t="shared" si="42"/>
        <v>2.1572167609383528E+16</v>
      </c>
      <c r="H169" s="2">
        <f t="shared" si="43"/>
        <v>3.8279535836237048E+16</v>
      </c>
      <c r="I169" s="3">
        <f t="shared" si="44"/>
        <v>6.8567798581494852E-2</v>
      </c>
      <c r="J169" s="3">
        <f t="shared" si="45"/>
        <v>9.1339082516292164E-2</v>
      </c>
    </row>
    <row r="170" spans="1:10" x14ac:dyDescent="0.3">
      <c r="A170" s="7">
        <v>45658</v>
      </c>
      <c r="B170" s="5">
        <v>2266553000</v>
      </c>
      <c r="C170" s="1">
        <f t="shared" si="46"/>
        <v>2259535344.06355</v>
      </c>
      <c r="D170" s="1">
        <f t="shared" si="47"/>
        <v>2259426551.4555793</v>
      </c>
      <c r="E170" s="1">
        <f t="shared" si="40"/>
        <v>7017655.9364500046</v>
      </c>
      <c r="F170" s="1">
        <f t="shared" si="41"/>
        <v>7126448.5444207191</v>
      </c>
      <c r="G170" s="2">
        <f t="shared" si="42"/>
        <v>49247494842391.992</v>
      </c>
      <c r="H170" s="2">
        <f t="shared" si="43"/>
        <v>50786268856276.188</v>
      </c>
      <c r="I170" s="3">
        <f t="shared" si="44"/>
        <v>3.0961799421632781E-3</v>
      </c>
      <c r="J170" s="3">
        <f t="shared" si="45"/>
        <v>3.1441790879898767E-3</v>
      </c>
    </row>
    <row r="171" spans="1:10" x14ac:dyDescent="0.3">
      <c r="A171" s="7">
        <v>45689</v>
      </c>
      <c r="B171" s="5">
        <v>1815909000</v>
      </c>
      <c r="C171" s="1">
        <f t="shared" si="46"/>
        <v>2260938875.2508402</v>
      </c>
      <c r="D171" s="1">
        <f t="shared" si="47"/>
        <v>2262277130.8733473</v>
      </c>
      <c r="E171" s="1">
        <f t="shared" si="40"/>
        <v>445029875.25084019</v>
      </c>
      <c r="F171" s="1">
        <f t="shared" si="41"/>
        <v>446368130.87334728</v>
      </c>
      <c r="G171" s="2">
        <f t="shared" si="42"/>
        <v>1.9805158986577837E+17</v>
      </c>
      <c r="H171" s="2">
        <f t="shared" si="43"/>
        <v>1.992445082593657E+17</v>
      </c>
      <c r="I171" s="3">
        <f t="shared" si="44"/>
        <v>0.2450727846223793</v>
      </c>
      <c r="J171" s="3">
        <f t="shared" si="45"/>
        <v>0.24580974645389569</v>
      </c>
    </row>
    <row r="172" spans="1:10" x14ac:dyDescent="0.3">
      <c r="A172" s="7">
        <v>45717</v>
      </c>
      <c r="B172" s="5">
        <v>1774512000</v>
      </c>
      <c r="C172" s="1">
        <f t="shared" si="46"/>
        <v>2171932900.2006721</v>
      </c>
      <c r="D172" s="1">
        <f t="shared" si="47"/>
        <v>2083729878.5240083</v>
      </c>
      <c r="E172" s="1">
        <f t="shared" si="40"/>
        <v>397420900.20067215</v>
      </c>
      <c r="F172" s="1">
        <f t="shared" si="41"/>
        <v>309217878.52400827</v>
      </c>
      <c r="G172" s="2">
        <f t="shared" si="42"/>
        <v>1.5794337191631261E+17</v>
      </c>
      <c r="H172" s="2">
        <f t="shared" si="43"/>
        <v>9.5615696398888336E+16</v>
      </c>
      <c r="I172" s="3">
        <f t="shared" si="44"/>
        <v>0.22396067211755805</v>
      </c>
      <c r="J172" s="3">
        <f t="shared" si="45"/>
        <v>0.1742551634049295</v>
      </c>
    </row>
    <row r="173" spans="1:10" x14ac:dyDescent="0.3">
      <c r="A173" s="7">
        <v>45748</v>
      </c>
      <c r="B173" s="5">
        <v>1652499000</v>
      </c>
      <c r="C173" s="1">
        <f t="shared" si="46"/>
        <v>2092448720.1605377</v>
      </c>
      <c r="D173" s="1">
        <f t="shared" si="47"/>
        <v>1960042727.1144049</v>
      </c>
      <c r="E173" s="1">
        <f t="shared" si="40"/>
        <v>439949720.16053772</v>
      </c>
      <c r="F173" s="1">
        <f t="shared" si="41"/>
        <v>307543727.11440492</v>
      </c>
      <c r="G173" s="2">
        <f t="shared" si="42"/>
        <v>1.9355575626933546E+17</v>
      </c>
      <c r="H173" s="2">
        <f t="shared" si="43"/>
        <v>9.4583144087419552E+16</v>
      </c>
      <c r="I173" s="3">
        <f t="shared" si="44"/>
        <v>0.26623297209894692</v>
      </c>
      <c r="J173" s="3">
        <f t="shared" si="45"/>
        <v>0.18610826821341794</v>
      </c>
    </row>
    <row r="174" spans="1:10" x14ac:dyDescent="0.3">
      <c r="A174" s="7">
        <v>45778</v>
      </c>
      <c r="B174" s="5">
        <v>1653032000</v>
      </c>
      <c r="C174" s="1">
        <f t="shared" si="46"/>
        <v>2004458776.1284304</v>
      </c>
      <c r="D174" s="1">
        <f t="shared" si="47"/>
        <v>1837025236.2686429</v>
      </c>
      <c r="E174" s="1">
        <f t="shared" si="40"/>
        <v>351426776.12843037</v>
      </c>
      <c r="F174" s="1">
        <f t="shared" si="41"/>
        <v>183993236.2686429</v>
      </c>
      <c r="G174" s="2">
        <f t="shared" si="42"/>
        <v>1.2350077898002192E+17</v>
      </c>
      <c r="H174" s="2">
        <f t="shared" si="43"/>
        <v>3.3853510992608648E+16</v>
      </c>
      <c r="I174" s="3">
        <f t="shared" si="44"/>
        <v>0.21259526502114318</v>
      </c>
      <c r="J174" s="3">
        <f t="shared" si="45"/>
        <v>0.11130651812465996</v>
      </c>
    </row>
    <row r="175" spans="1:10" x14ac:dyDescent="0.3">
      <c r="A175" s="7">
        <v>45809</v>
      </c>
      <c r="B175" s="5">
        <v>1889049000</v>
      </c>
      <c r="C175" s="1">
        <f t="shared" si="46"/>
        <v>1934173420.9027443</v>
      </c>
      <c r="D175" s="1">
        <f t="shared" si="47"/>
        <v>1763427941.7611856</v>
      </c>
      <c r="E175" s="1">
        <f t="shared" si="40"/>
        <v>45124420.902744293</v>
      </c>
      <c r="F175" s="1">
        <f t="shared" si="41"/>
        <v>125621058.23881435</v>
      </c>
      <c r="G175" s="2">
        <f t="shared" si="42"/>
        <v>2036213361808026</v>
      </c>
      <c r="H175" s="2">
        <f t="shared" si="43"/>
        <v>1.5780650273039588E+16</v>
      </c>
      <c r="I175" s="3">
        <f t="shared" si="44"/>
        <v>2.3887374495179477E-2</v>
      </c>
      <c r="J175" s="3">
        <f t="shared" si="45"/>
        <v>6.6499629304911809E-2</v>
      </c>
    </row>
    <row r="176" spans="1:10" x14ac:dyDescent="0.3">
      <c r="A176" s="7">
        <v>45839</v>
      </c>
      <c r="B176" s="5">
        <v>2098073000</v>
      </c>
      <c r="C176" s="1">
        <f t="shared" si="46"/>
        <v>1925148536.7221956</v>
      </c>
      <c r="D176" s="1">
        <f t="shared" si="47"/>
        <v>1813676365.0567112</v>
      </c>
      <c r="E176" s="1">
        <f t="shared" si="40"/>
        <v>172924463.27780437</v>
      </c>
      <c r="F176" s="1">
        <f t="shared" si="41"/>
        <v>284396634.9432888</v>
      </c>
      <c r="G176" s="2">
        <f t="shared" si="42"/>
        <v>2.9902869999916712E+16</v>
      </c>
      <c r="H176" s="2">
        <f t="shared" si="43"/>
        <v>8.0881445967066272E+16</v>
      </c>
      <c r="I176" s="3">
        <f t="shared" si="44"/>
        <v>8.2420613237863691E-2</v>
      </c>
      <c r="J176" s="3">
        <f t="shared" si="45"/>
        <v>0.13555135352453837</v>
      </c>
    </row>
    <row r="177" spans="1:10" x14ac:dyDescent="0.3">
      <c r="A177" s="7">
        <v>45870</v>
      </c>
      <c r="B177" s="5">
        <v>1935223000</v>
      </c>
      <c r="C177" s="1">
        <f t="shared" si="46"/>
        <v>1959733429.3777566</v>
      </c>
      <c r="D177" s="1">
        <f t="shared" si="47"/>
        <v>1927435019.0340266</v>
      </c>
      <c r="E177" s="1">
        <f t="shared" si="40"/>
        <v>24510429.377756596</v>
      </c>
      <c r="F177" s="1">
        <f t="shared" si="41"/>
        <v>7787980.9659733772</v>
      </c>
      <c r="G177" s="2">
        <f t="shared" si="42"/>
        <v>600761148281993.63</v>
      </c>
      <c r="H177" s="2">
        <f t="shared" si="43"/>
        <v>60652647526363.617</v>
      </c>
      <c r="I177" s="3">
        <f t="shared" si="44"/>
        <v>1.2665428933904049E-2</v>
      </c>
      <c r="J177" s="3">
        <f t="shared" si="45"/>
        <v>4.0243325787123127E-3</v>
      </c>
    </row>
    <row r="178" spans="1:10" x14ac:dyDescent="0.3">
      <c r="A178" s="7">
        <v>45901</v>
      </c>
      <c r="B178" s="5">
        <v>1773970000</v>
      </c>
      <c r="C178" s="1">
        <f t="shared" si="46"/>
        <v>1954831343.5022054</v>
      </c>
      <c r="D178" s="1">
        <f t="shared" si="47"/>
        <v>1930550211.4204159</v>
      </c>
      <c r="E178" s="1">
        <f t="shared" si="40"/>
        <v>180861343.50220537</v>
      </c>
      <c r="F178" s="1">
        <f t="shared" si="41"/>
        <v>156580211.42041588</v>
      </c>
      <c r="G178" s="2">
        <f t="shared" si="42"/>
        <v>3.2710825573422724E+16</v>
      </c>
      <c r="H178" s="2">
        <f t="shared" si="43"/>
        <v>2.4517362608462136E+16</v>
      </c>
      <c r="I178" s="3">
        <f t="shared" si="44"/>
        <v>0.10195287603635088</v>
      </c>
      <c r="J178" s="3">
        <f t="shared" si="45"/>
        <v>8.8265422425641851E-2</v>
      </c>
    </row>
    <row r="179" spans="1:10" x14ac:dyDescent="0.3">
      <c r="A179" s="7">
        <v>45931</v>
      </c>
      <c r="B179" s="5">
        <v>1610179000</v>
      </c>
      <c r="C179" s="1">
        <f t="shared" si="46"/>
        <v>1918659074.8017645</v>
      </c>
      <c r="D179" s="1">
        <f t="shared" si="47"/>
        <v>1867918126.8522494</v>
      </c>
      <c r="E179" s="1">
        <f t="shared" si="40"/>
        <v>308480074.80176449</v>
      </c>
      <c r="F179" s="1">
        <f t="shared" si="41"/>
        <v>257739126.85224938</v>
      </c>
      <c r="G179" s="2">
        <f t="shared" si="42"/>
        <v>9.5159956549702208E+16</v>
      </c>
      <c r="H179" s="2">
        <f t="shared" si="43"/>
        <v>6.6429457510559896E+16</v>
      </c>
      <c r="I179" s="3">
        <f t="shared" si="44"/>
        <v>0.19158123090772175</v>
      </c>
      <c r="J179" s="3">
        <f t="shared" si="45"/>
        <v>0.1600686177451385</v>
      </c>
    </row>
    <row r="180" spans="1:10" x14ac:dyDescent="0.3">
      <c r="A180" s="7">
        <v>45962</v>
      </c>
      <c r="B180" s="5">
        <v>1643934000</v>
      </c>
      <c r="C180" s="1">
        <f t="shared" si="46"/>
        <v>1856963059.8414116</v>
      </c>
      <c r="D180" s="1">
        <f t="shared" si="47"/>
        <v>1764822476.1113496</v>
      </c>
      <c r="E180" s="1">
        <f t="shared" si="40"/>
        <v>213029059.84141159</v>
      </c>
      <c r="F180" s="1">
        <f t="shared" si="41"/>
        <v>120888476.11134958</v>
      </c>
      <c r="G180" s="2">
        <f t="shared" si="42"/>
        <v>4.538138033691572E+16</v>
      </c>
      <c r="H180" s="2">
        <f t="shared" si="43"/>
        <v>1.4614023656524338E+16</v>
      </c>
      <c r="I180" s="3">
        <f t="shared" si="44"/>
        <v>0.12958492241258565</v>
      </c>
      <c r="J180" s="3">
        <f t="shared" si="45"/>
        <v>7.3536088499507629E-2</v>
      </c>
    </row>
    <row r="181" spans="1:10" x14ac:dyDescent="0.3">
      <c r="A181" s="7">
        <v>45992</v>
      </c>
      <c r="B181" s="5">
        <v>1856222000</v>
      </c>
      <c r="C181" s="1">
        <f t="shared" si="46"/>
        <v>1814357247.8731294</v>
      </c>
      <c r="D181" s="1">
        <f t="shared" si="47"/>
        <v>1716467085.6668096</v>
      </c>
      <c r="E181" s="1">
        <f t="shared" si="40"/>
        <v>41864752.126870632</v>
      </c>
      <c r="F181" s="1">
        <f t="shared" si="41"/>
        <v>139754914.33319044</v>
      </c>
      <c r="G181" s="2">
        <f t="shared" si="42"/>
        <v>1752657470644319</v>
      </c>
      <c r="H181" s="2">
        <f t="shared" si="43"/>
        <v>1.95314360802774E+16</v>
      </c>
      <c r="I181" s="3">
        <f t="shared" si="44"/>
        <v>2.2553742023783057E-2</v>
      </c>
      <c r="J181" s="3">
        <f t="shared" si="45"/>
        <v>7.5289978425635742E-2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84"/>
  <sheetViews>
    <sheetView topLeftCell="U1" zoomScale="85" zoomScaleNormal="85" workbookViewId="0">
      <selection activeCell="Y37" sqref="Y36:Y37"/>
    </sheetView>
  </sheetViews>
  <sheetFormatPr defaultRowHeight="16.2" x14ac:dyDescent="0.3"/>
  <cols>
    <col min="1" max="1" width="9.88671875" style="21" bestFit="1" customWidth="1"/>
    <col min="2" max="2" width="12.77734375" style="21" bestFit="1" customWidth="1"/>
    <col min="3" max="3" width="7.77734375" style="21" hidden="1" customWidth="1"/>
    <col min="4" max="5" width="0" style="21" hidden="1"/>
    <col min="6" max="6" width="8.33203125" style="21" hidden="1" customWidth="1"/>
    <col min="7" max="7" width="11" style="21" hidden="1" customWidth="1"/>
    <col min="8" max="8" width="11.44140625" style="21" hidden="1" customWidth="1"/>
    <col min="9" max="9" width="12.6640625" style="21" hidden="1" customWidth="1"/>
    <col min="10" max="10" width="16" style="21" hidden="1" customWidth="1"/>
    <col min="11" max="11" width="12.6640625" style="21" hidden="1" customWidth="1"/>
    <col min="12" max="12" width="15.5546875" style="21" hidden="1" customWidth="1"/>
    <col min="13" max="13" width="16.109375" style="21" hidden="1" customWidth="1"/>
    <col min="14" max="14" width="15" style="21" hidden="1" customWidth="1"/>
    <col min="15" max="15" width="15.44140625" style="21" hidden="1" customWidth="1"/>
    <col min="16" max="16" width="14.109375" style="21" hidden="1" customWidth="1"/>
    <col min="17" max="17" width="15.21875" style="21" hidden="1" customWidth="1"/>
    <col min="18" max="18" width="15.5546875" style="21" hidden="1" customWidth="1"/>
    <col min="19" max="19" width="13.33203125" style="21" bestFit="1" customWidth="1"/>
    <col min="20" max="20" width="11.77734375" style="21" bestFit="1" customWidth="1"/>
    <col min="23" max="23" width="27.44140625" style="21" bestFit="1" customWidth="1"/>
    <col min="24" max="24" width="14.109375" style="21" bestFit="1" customWidth="1"/>
    <col min="27" max="27" width="13.77734375" style="21" customWidth="1"/>
    <col min="29" max="29" width="15.6640625" style="21" bestFit="1" customWidth="1"/>
    <col min="30" max="30" width="22.6640625" style="21" customWidth="1"/>
    <col min="31" max="31" width="14.21875" style="21" customWidth="1"/>
    <col min="32" max="32" width="19" style="21" customWidth="1"/>
  </cols>
  <sheetData>
    <row r="1" spans="1:37" x14ac:dyDescent="0.3">
      <c r="A1" s="6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5" t="s">
        <v>18</v>
      </c>
      <c r="T1" s="15" t="s">
        <v>19</v>
      </c>
    </row>
    <row r="2" spans="1:37" x14ac:dyDescent="0.3">
      <c r="A2" s="7">
        <v>40544</v>
      </c>
      <c r="B2" s="5">
        <v>530164083.30000001</v>
      </c>
      <c r="C2" s="1">
        <v>89.24</v>
      </c>
      <c r="D2" s="1">
        <v>1060.3</v>
      </c>
      <c r="E2" s="1">
        <v>1109.8499999999999</v>
      </c>
      <c r="F2" s="1">
        <v>92.7</v>
      </c>
      <c r="G2" s="1">
        <v>99.3</v>
      </c>
      <c r="H2" s="1">
        <v>15200</v>
      </c>
      <c r="I2" s="1">
        <v>1240612.1599999999</v>
      </c>
      <c r="J2" s="1">
        <v>1109907.47</v>
      </c>
      <c r="K2" s="1">
        <v>90.95</v>
      </c>
      <c r="L2" s="1">
        <v>0.98766042499999995</v>
      </c>
      <c r="M2" s="1">
        <v>1173213.55</v>
      </c>
      <c r="N2" s="1">
        <v>1620280.71</v>
      </c>
      <c r="O2" s="1">
        <v>824750.57</v>
      </c>
      <c r="P2" s="1">
        <v>89.51</v>
      </c>
      <c r="Q2" s="1">
        <v>805484.06</v>
      </c>
      <c r="R2" s="1">
        <v>3361.55</v>
      </c>
      <c r="S2" s="14">
        <f t="shared" ref="S2:S33" si="0">$W$38+SUMPRODUCT($X$38:$AM$38,C2:R2)</f>
        <v>642082475.46554422</v>
      </c>
      <c r="T2" s="14">
        <f t="shared" ref="T2:T33" si="1">B2-S2</f>
        <v>-111918392.16554421</v>
      </c>
      <c r="W2" t="s">
        <v>20</v>
      </c>
      <c r="AC2" s="4"/>
      <c r="AD2" s="4" t="s">
        <v>21</v>
      </c>
      <c r="AE2" s="4" t="s">
        <v>22</v>
      </c>
      <c r="AF2" s="4" t="s">
        <v>23</v>
      </c>
    </row>
    <row r="3" spans="1:37" ht="16.8" customHeight="1" thickBot="1" x14ac:dyDescent="0.35">
      <c r="A3" s="7">
        <v>40575</v>
      </c>
      <c r="B3" s="5">
        <v>442050146.30000001</v>
      </c>
      <c r="C3" s="1">
        <v>86.97</v>
      </c>
      <c r="D3" s="1">
        <v>1054.29</v>
      </c>
      <c r="E3" s="1">
        <v>1075.9000000000001</v>
      </c>
      <c r="F3" s="1">
        <v>78.930000000000007</v>
      </c>
      <c r="G3" s="1">
        <v>100.42</v>
      </c>
      <c r="H3" s="1">
        <v>13800</v>
      </c>
      <c r="I3" s="1">
        <v>995734.3</v>
      </c>
      <c r="J3" s="1">
        <v>991917.11</v>
      </c>
      <c r="K3" s="1">
        <v>91.2</v>
      </c>
      <c r="L3" s="1">
        <v>0.91214731299999996</v>
      </c>
      <c r="M3" s="1">
        <v>1227306.54</v>
      </c>
      <c r="N3" s="1">
        <v>1325341.6000000001</v>
      </c>
      <c r="O3" s="1">
        <v>535623.84</v>
      </c>
      <c r="P3" s="1">
        <v>89.37</v>
      </c>
      <c r="Q3" s="1">
        <v>741311.67</v>
      </c>
      <c r="R3" s="1">
        <v>2833.85</v>
      </c>
      <c r="S3" s="14">
        <f t="shared" si="0"/>
        <v>469674953.42401886</v>
      </c>
      <c r="T3" s="14">
        <f t="shared" si="1"/>
        <v>-27624807.124018848</v>
      </c>
      <c r="AC3" s="8" t="s">
        <v>24</v>
      </c>
      <c r="AD3" s="9">
        <f>SQRT(SUMPRODUCT(T2:T145,T2:T145)/144)</f>
        <v>86795219.735772833</v>
      </c>
      <c r="AE3" s="1">
        <f t="array" ref="AE3">SUMPRODUCT(ABS(T2:T145))/144</f>
        <v>66512509.555298552</v>
      </c>
      <c r="AF3" s="3">
        <f t="array" ref="AF3">SUMPRODUCT(ABS(T2:T145)/B2:B145)/144</f>
        <v>6.3095054981801763E-2</v>
      </c>
    </row>
    <row r="4" spans="1:37" x14ac:dyDescent="0.3">
      <c r="A4" s="7">
        <v>40603</v>
      </c>
      <c r="B4" s="5">
        <v>458910901.10000002</v>
      </c>
      <c r="C4" s="1">
        <v>87.92</v>
      </c>
      <c r="D4" s="1">
        <v>1027.18</v>
      </c>
      <c r="E4" s="1">
        <v>991.71</v>
      </c>
      <c r="F4" s="1">
        <v>96.51</v>
      </c>
      <c r="G4" s="1">
        <v>98.96</v>
      </c>
      <c r="H4" s="1">
        <v>13600</v>
      </c>
      <c r="I4" s="1">
        <v>1257473.8899999999</v>
      </c>
      <c r="J4" s="1">
        <v>1164160.71</v>
      </c>
      <c r="K4" s="1">
        <v>91.61</v>
      </c>
      <c r="L4" s="1">
        <v>0.91214731299999996</v>
      </c>
      <c r="M4" s="1">
        <v>1264016.8600000001</v>
      </c>
      <c r="N4" s="1">
        <v>1474811.59</v>
      </c>
      <c r="O4" s="1">
        <v>742020.69</v>
      </c>
      <c r="P4" s="1">
        <v>102.92</v>
      </c>
      <c r="Q4" s="1">
        <v>892948.05</v>
      </c>
      <c r="R4" s="1">
        <v>3586.23</v>
      </c>
      <c r="S4" s="14">
        <f t="shared" si="0"/>
        <v>526861275.83754349</v>
      </c>
      <c r="T4" s="14">
        <f t="shared" si="1"/>
        <v>-67950374.737543464</v>
      </c>
      <c r="W4" s="12" t="s">
        <v>25</v>
      </c>
      <c r="X4" s="12"/>
      <c r="AC4" s="8" t="s">
        <v>26</v>
      </c>
      <c r="AD4" s="9">
        <f>SQRT(SUMPRODUCT(T146:T181,T146:T181)/36)</f>
        <v>205285059.08321834</v>
      </c>
      <c r="AE4" s="1">
        <f t="array" ref="AE4">SUMPRODUCT(ABS(T146:T181))/36</f>
        <v>136603741.14352003</v>
      </c>
      <c r="AF4" s="3">
        <f t="array" ref="AF4">SUMPRODUCT(ABS(T146:T181)/B146:B181)/36</f>
        <v>7.4226628206188208E-2</v>
      </c>
    </row>
    <row r="5" spans="1:37" x14ac:dyDescent="0.3">
      <c r="A5" s="7">
        <v>40634</v>
      </c>
      <c r="B5" s="5">
        <v>521655176</v>
      </c>
      <c r="C5" s="1">
        <v>89.98</v>
      </c>
      <c r="D5" s="1">
        <v>1005.88</v>
      </c>
      <c r="E5" s="1">
        <v>1021.66</v>
      </c>
      <c r="F5" s="1">
        <v>92.21</v>
      </c>
      <c r="G5" s="1">
        <v>100.2</v>
      </c>
      <c r="H5" s="1">
        <v>13600</v>
      </c>
      <c r="I5" s="1">
        <v>1228518.6000000001</v>
      </c>
      <c r="J5" s="1">
        <v>1123923.6000000001</v>
      </c>
      <c r="K5" s="1">
        <v>91.72</v>
      </c>
      <c r="L5" s="1">
        <v>0.91214731299999996</v>
      </c>
      <c r="M5" s="1">
        <v>1225712.72</v>
      </c>
      <c r="N5" s="1">
        <v>1524629.23</v>
      </c>
      <c r="O5" s="1">
        <v>752020.35</v>
      </c>
      <c r="P5" s="1">
        <v>110.04</v>
      </c>
      <c r="Q5" s="1">
        <v>840144.56</v>
      </c>
      <c r="R5" s="1">
        <v>2999.9</v>
      </c>
      <c r="S5" s="14">
        <f t="shared" si="0"/>
        <v>491255107.09105396</v>
      </c>
      <c r="T5" s="14">
        <f t="shared" si="1"/>
        <v>30400068.908946037</v>
      </c>
      <c r="W5" t="s">
        <v>27</v>
      </c>
      <c r="X5">
        <v>0.996133804577646</v>
      </c>
    </row>
    <row r="6" spans="1:37" x14ac:dyDescent="0.3">
      <c r="A6" s="7">
        <v>40664</v>
      </c>
      <c r="B6" s="5">
        <v>521870479.60000002</v>
      </c>
      <c r="C6" s="1">
        <v>89.88</v>
      </c>
      <c r="D6" s="1">
        <v>1010.53</v>
      </c>
      <c r="E6" s="1">
        <v>1072.6600000000001</v>
      </c>
      <c r="F6" s="1">
        <v>94.76</v>
      </c>
      <c r="G6" s="1">
        <v>98.29</v>
      </c>
      <c r="H6" s="1">
        <v>14700</v>
      </c>
      <c r="I6" s="1">
        <v>1208753.47</v>
      </c>
      <c r="J6" s="1">
        <v>1156190.27</v>
      </c>
      <c r="K6" s="1">
        <v>91.35</v>
      </c>
      <c r="L6" s="1">
        <v>1.044546159</v>
      </c>
      <c r="M6" s="1">
        <v>1169127.72</v>
      </c>
      <c r="N6" s="1">
        <v>1548946.43</v>
      </c>
      <c r="O6" s="1">
        <v>1026051.07</v>
      </c>
      <c r="P6" s="1">
        <v>101.25</v>
      </c>
      <c r="Q6" s="1">
        <v>829182.96</v>
      </c>
      <c r="R6" s="1">
        <v>3966.96</v>
      </c>
      <c r="S6" s="14">
        <f t="shared" si="0"/>
        <v>645903410.32335901</v>
      </c>
      <c r="T6" s="14">
        <f t="shared" si="1"/>
        <v>-124032930.72335899</v>
      </c>
      <c r="W6" t="s">
        <v>28</v>
      </c>
      <c r="X6">
        <v>0.99228255662233589</v>
      </c>
    </row>
    <row r="7" spans="1:37" x14ac:dyDescent="0.3">
      <c r="A7" s="7">
        <v>40695</v>
      </c>
      <c r="B7" s="5">
        <v>530635299.39999998</v>
      </c>
      <c r="C7" s="1">
        <v>90.18</v>
      </c>
      <c r="D7" s="1">
        <v>998.98</v>
      </c>
      <c r="E7" s="1">
        <v>1039.1500000000001</v>
      </c>
      <c r="F7" s="1">
        <v>92.73</v>
      </c>
      <c r="G7" s="1">
        <v>99.18</v>
      </c>
      <c r="H7" s="1">
        <v>14600</v>
      </c>
      <c r="I7" s="1">
        <v>1073014.05</v>
      </c>
      <c r="J7" s="1">
        <v>1003087.57</v>
      </c>
      <c r="K7" s="1">
        <v>91.93</v>
      </c>
      <c r="L7" s="1">
        <v>1.044546159</v>
      </c>
      <c r="M7" s="1">
        <v>870456.24</v>
      </c>
      <c r="N7" s="1">
        <v>1320121.8400000001</v>
      </c>
      <c r="O7" s="1">
        <v>775890.8</v>
      </c>
      <c r="P7" s="1">
        <v>96.25</v>
      </c>
      <c r="Q7" s="1">
        <v>724923.91</v>
      </c>
      <c r="R7" s="1">
        <v>3247.29</v>
      </c>
      <c r="S7" s="14">
        <f t="shared" si="0"/>
        <v>590313545.18191624</v>
      </c>
      <c r="T7" s="14">
        <f t="shared" si="1"/>
        <v>-59678245.781916261</v>
      </c>
      <c r="W7" t="s">
        <v>29</v>
      </c>
      <c r="X7">
        <v>0.99131028029129165</v>
      </c>
      <c r="AD7" s="20" t="s">
        <v>30</v>
      </c>
      <c r="AE7" s="20"/>
      <c r="AF7" s="20"/>
      <c r="AG7" s="20"/>
      <c r="AH7" s="20"/>
      <c r="AI7" s="20"/>
      <c r="AJ7" s="20"/>
      <c r="AK7" s="20"/>
    </row>
    <row r="8" spans="1:37" x14ac:dyDescent="0.3">
      <c r="A8" s="7">
        <v>40725</v>
      </c>
      <c r="B8" s="5">
        <v>526166118</v>
      </c>
      <c r="C8" s="1">
        <v>91.39</v>
      </c>
      <c r="D8" s="1">
        <v>982.13</v>
      </c>
      <c r="E8" s="1">
        <v>1016.87</v>
      </c>
      <c r="F8" s="1">
        <v>93.64</v>
      </c>
      <c r="G8" s="1">
        <v>99.41</v>
      </c>
      <c r="H8" s="1">
        <v>14400</v>
      </c>
      <c r="I8" s="1">
        <v>1280848.21</v>
      </c>
      <c r="J8" s="1">
        <v>1021969.55</v>
      </c>
      <c r="K8" s="1">
        <v>91.97</v>
      </c>
      <c r="L8" s="1">
        <v>1.044546159</v>
      </c>
      <c r="M8" s="1">
        <v>953371.08</v>
      </c>
      <c r="N8" s="1">
        <v>1266856.3999999999</v>
      </c>
      <c r="O8" s="1">
        <v>785944.9</v>
      </c>
      <c r="P8" s="1">
        <v>97.19</v>
      </c>
      <c r="Q8" s="1">
        <v>897337.97</v>
      </c>
      <c r="R8" s="1">
        <v>3011.87</v>
      </c>
      <c r="S8" s="14">
        <f t="shared" si="0"/>
        <v>656775935.94649553</v>
      </c>
      <c r="T8" s="14">
        <f t="shared" si="1"/>
        <v>-130609817.94649553</v>
      </c>
      <c r="W8" t="s">
        <v>31</v>
      </c>
      <c r="X8">
        <v>92421963.862487823</v>
      </c>
      <c r="AD8" s="20" t="s">
        <v>32</v>
      </c>
      <c r="AE8" s="20"/>
      <c r="AF8" s="20"/>
      <c r="AG8" s="20"/>
      <c r="AH8" s="20"/>
      <c r="AI8" s="20"/>
      <c r="AJ8" s="20"/>
      <c r="AK8" s="20"/>
    </row>
    <row r="9" spans="1:37" ht="16.8" customHeight="1" thickBot="1" x14ac:dyDescent="0.35">
      <c r="A9" s="7">
        <v>40756</v>
      </c>
      <c r="B9" s="5">
        <v>520844989.30000001</v>
      </c>
      <c r="C9" s="1">
        <v>90.23</v>
      </c>
      <c r="D9" s="1">
        <v>987.25</v>
      </c>
      <c r="E9" s="1">
        <v>1048.67</v>
      </c>
      <c r="F9" s="1">
        <v>91.67</v>
      </c>
      <c r="G9" s="1">
        <v>99.07</v>
      </c>
      <c r="H9" s="1">
        <v>14700</v>
      </c>
      <c r="I9" s="1">
        <v>1188578.75</v>
      </c>
      <c r="J9" s="1">
        <v>1158009.3</v>
      </c>
      <c r="K9" s="1">
        <v>91.63</v>
      </c>
      <c r="L9" s="1">
        <v>1.0556461029999999</v>
      </c>
      <c r="M9" s="1">
        <v>1072695.76</v>
      </c>
      <c r="N9" s="1">
        <v>1435000.21</v>
      </c>
      <c r="O9" s="1">
        <v>739943.88</v>
      </c>
      <c r="P9" s="1">
        <v>86.32</v>
      </c>
      <c r="Q9" s="1">
        <v>770780.69</v>
      </c>
      <c r="R9" s="1">
        <v>2863.97</v>
      </c>
      <c r="S9" s="14">
        <f t="shared" si="0"/>
        <v>585422677.66224241</v>
      </c>
      <c r="T9" s="14">
        <f t="shared" si="1"/>
        <v>-64577688.362242401</v>
      </c>
      <c r="W9" s="10" t="s">
        <v>33</v>
      </c>
      <c r="X9" s="10">
        <v>144</v>
      </c>
      <c r="AD9" s="20" t="s">
        <v>34</v>
      </c>
      <c r="AE9" s="20"/>
      <c r="AF9" s="20"/>
      <c r="AG9" s="20"/>
      <c r="AH9" s="20"/>
      <c r="AI9" s="20"/>
      <c r="AJ9" s="20"/>
      <c r="AK9" s="20"/>
    </row>
    <row r="10" spans="1:37" x14ac:dyDescent="0.3">
      <c r="A10" s="7">
        <v>40787</v>
      </c>
      <c r="B10" s="5">
        <v>484694267.89999998</v>
      </c>
      <c r="C10" s="1">
        <v>91.28</v>
      </c>
      <c r="D10" s="1">
        <v>992.99</v>
      </c>
      <c r="E10" s="1">
        <v>1020.38</v>
      </c>
      <c r="F10" s="1">
        <v>86.27</v>
      </c>
      <c r="G10" s="1">
        <v>98.96</v>
      </c>
      <c r="H10" s="1">
        <v>15900</v>
      </c>
      <c r="I10" s="1">
        <v>1147222.75</v>
      </c>
      <c r="J10" s="1">
        <v>1129262.1499999999</v>
      </c>
      <c r="K10" s="1">
        <v>92.21</v>
      </c>
      <c r="L10" s="1">
        <v>1.0556461029999999</v>
      </c>
      <c r="M10" s="1">
        <v>881024.87</v>
      </c>
      <c r="N10" s="1">
        <v>1295775.74</v>
      </c>
      <c r="O10" s="1">
        <v>769175.2</v>
      </c>
      <c r="P10" s="1">
        <v>85.62</v>
      </c>
      <c r="Q10" s="1">
        <v>667151.32999999996</v>
      </c>
      <c r="R10" s="1">
        <v>2576.66</v>
      </c>
      <c r="S10" s="14">
        <f t="shared" si="0"/>
        <v>607265681.99705887</v>
      </c>
      <c r="T10" s="14">
        <f t="shared" si="1"/>
        <v>-122571414.09705889</v>
      </c>
    </row>
    <row r="11" spans="1:37" ht="16.8" customHeight="1" thickBot="1" x14ac:dyDescent="0.35">
      <c r="A11" s="7">
        <v>40817</v>
      </c>
      <c r="B11" s="5">
        <v>494560586.5</v>
      </c>
      <c r="C11" s="1">
        <v>91.75</v>
      </c>
      <c r="D11" s="1">
        <v>959.18</v>
      </c>
      <c r="E11" s="1">
        <v>943.35</v>
      </c>
      <c r="F11" s="1">
        <v>89.04</v>
      </c>
      <c r="G11" s="1">
        <v>99.3</v>
      </c>
      <c r="H11" s="1">
        <v>16500</v>
      </c>
      <c r="I11" s="1">
        <v>1246833.3999999999</v>
      </c>
      <c r="J11" s="1">
        <v>1237055.45</v>
      </c>
      <c r="K11" s="1">
        <v>93.24</v>
      </c>
      <c r="L11" s="1">
        <v>1.0556461029999999</v>
      </c>
      <c r="M11" s="1">
        <v>1077808.3600000001</v>
      </c>
      <c r="N11" s="1">
        <v>1365788.16</v>
      </c>
      <c r="O11" s="1">
        <v>677569.51</v>
      </c>
      <c r="P11" s="1">
        <v>86.41</v>
      </c>
      <c r="Q11" s="1">
        <v>761716.68</v>
      </c>
      <c r="R11" s="1">
        <v>2702.85</v>
      </c>
      <c r="S11" s="14">
        <f t="shared" si="0"/>
        <v>593388207.4449749</v>
      </c>
      <c r="T11" s="14">
        <f t="shared" si="1"/>
        <v>-98827620.944974899</v>
      </c>
      <c r="W11" t="s">
        <v>35</v>
      </c>
    </row>
    <row r="12" spans="1:37" x14ac:dyDescent="0.3">
      <c r="A12" s="7">
        <v>40848</v>
      </c>
      <c r="B12" s="5">
        <v>481736591.5</v>
      </c>
      <c r="C12" s="1">
        <v>89.6</v>
      </c>
      <c r="D12" s="1">
        <v>933.64</v>
      </c>
      <c r="E12" s="1">
        <v>891.78</v>
      </c>
      <c r="F12" s="1">
        <v>85.36</v>
      </c>
      <c r="G12" s="1">
        <v>98.73</v>
      </c>
      <c r="H12" s="1">
        <v>16100</v>
      </c>
      <c r="I12" s="1">
        <v>1173040.52</v>
      </c>
      <c r="J12" s="1">
        <v>891877.28</v>
      </c>
      <c r="K12" s="1">
        <v>93.32</v>
      </c>
      <c r="L12" s="1">
        <v>0.98766042499999995</v>
      </c>
      <c r="M12" s="1">
        <v>1036007.02</v>
      </c>
      <c r="N12" s="1">
        <v>1331388.3400000001</v>
      </c>
      <c r="O12" s="1">
        <v>924303.94</v>
      </c>
      <c r="P12" s="1">
        <v>97.07</v>
      </c>
      <c r="Q12" s="1">
        <v>759155.95</v>
      </c>
      <c r="R12" s="1">
        <v>2649.86</v>
      </c>
      <c r="S12" s="14">
        <f t="shared" si="0"/>
        <v>524182458.47531939</v>
      </c>
      <c r="T12" s="14">
        <f t="shared" si="1"/>
        <v>-42445866.975319386</v>
      </c>
      <c r="W12" s="11"/>
      <c r="X12" s="11" t="s">
        <v>36</v>
      </c>
      <c r="Y12" s="11" t="s">
        <v>37</v>
      </c>
      <c r="Z12" s="11" t="s">
        <v>38</v>
      </c>
      <c r="AA12" s="11" t="s">
        <v>39</v>
      </c>
      <c r="AB12" s="11" t="s">
        <v>40</v>
      </c>
    </row>
    <row r="13" spans="1:37" x14ac:dyDescent="0.3">
      <c r="A13" s="7">
        <v>40878</v>
      </c>
      <c r="B13" s="5">
        <v>465883225.39999998</v>
      </c>
      <c r="C13" s="1">
        <v>92.64</v>
      </c>
      <c r="D13" s="1">
        <v>905.52</v>
      </c>
      <c r="E13" s="1">
        <v>856.64</v>
      </c>
      <c r="F13" s="1">
        <v>85.07</v>
      </c>
      <c r="G13" s="1">
        <v>98.51</v>
      </c>
      <c r="H13" s="1">
        <v>17700</v>
      </c>
      <c r="I13" s="1">
        <v>1128052.51</v>
      </c>
      <c r="J13" s="1">
        <v>919672.4</v>
      </c>
      <c r="K13" s="1">
        <v>93.05</v>
      </c>
      <c r="L13" s="1">
        <v>0.98766042499999995</v>
      </c>
      <c r="M13" s="1">
        <v>979025.06</v>
      </c>
      <c r="N13" s="1">
        <v>1321085.01</v>
      </c>
      <c r="O13" s="1">
        <v>1064000.58</v>
      </c>
      <c r="P13" s="1">
        <v>98.61</v>
      </c>
      <c r="Q13" s="1">
        <v>836832.96</v>
      </c>
      <c r="R13" s="1">
        <v>2950.27</v>
      </c>
      <c r="S13" s="14">
        <f t="shared" si="0"/>
        <v>572263133.42608643</v>
      </c>
      <c r="T13" s="14">
        <f t="shared" si="1"/>
        <v>-106379908.02608645</v>
      </c>
      <c r="W13" t="s">
        <v>41</v>
      </c>
      <c r="X13">
        <v>16</v>
      </c>
      <c r="Y13">
        <v>1.39481307952872E+20</v>
      </c>
      <c r="Z13">
        <v>8.7175817470544998E+18</v>
      </c>
      <c r="AA13">
        <v>1020.576686831976</v>
      </c>
      <c r="AB13">
        <v>8.5652245982858361E-126</v>
      </c>
    </row>
    <row r="14" spans="1:37" x14ac:dyDescent="0.3">
      <c r="A14" s="7">
        <v>40909</v>
      </c>
      <c r="B14" s="5">
        <v>689942417.10000002</v>
      </c>
      <c r="C14" s="1">
        <v>91.51</v>
      </c>
      <c r="D14" s="1">
        <v>922.41</v>
      </c>
      <c r="E14" s="1">
        <v>978.85</v>
      </c>
      <c r="F14" s="1">
        <v>77.989999999999995</v>
      </c>
      <c r="G14" s="1">
        <v>98.73</v>
      </c>
      <c r="H14" s="1">
        <v>17200</v>
      </c>
      <c r="I14" s="1">
        <v>1134464.92</v>
      </c>
      <c r="J14" s="1">
        <v>900064.8</v>
      </c>
      <c r="K14" s="1">
        <v>93.63</v>
      </c>
      <c r="L14" s="1">
        <v>0.98766042499999995</v>
      </c>
      <c r="M14" s="1">
        <v>1125993.08</v>
      </c>
      <c r="N14" s="1">
        <v>1196940.02</v>
      </c>
      <c r="O14" s="1">
        <v>822447.99</v>
      </c>
      <c r="P14" s="1">
        <v>100.15</v>
      </c>
      <c r="Q14" s="1">
        <v>654278.5</v>
      </c>
      <c r="R14" s="1">
        <v>2337.9899999999998</v>
      </c>
      <c r="S14" s="14">
        <f t="shared" si="0"/>
        <v>495728586.70833349</v>
      </c>
      <c r="T14" s="14">
        <f t="shared" si="1"/>
        <v>194213830.39166653</v>
      </c>
      <c r="W14" t="s">
        <v>42</v>
      </c>
      <c r="X14">
        <v>127</v>
      </c>
      <c r="Y14">
        <v>1.084811064333273E+18</v>
      </c>
      <c r="Z14">
        <v>8541819404199004</v>
      </c>
    </row>
    <row r="15" spans="1:37" ht="16.8" customHeight="1" thickBot="1" x14ac:dyDescent="0.35">
      <c r="A15" s="7">
        <v>40940</v>
      </c>
      <c r="B15" s="5">
        <v>644837026</v>
      </c>
      <c r="C15" s="1">
        <v>91.88</v>
      </c>
      <c r="D15" s="1">
        <v>943.48</v>
      </c>
      <c r="E15" s="1">
        <v>967.97</v>
      </c>
      <c r="F15" s="1">
        <v>84.02</v>
      </c>
      <c r="G15" s="1">
        <v>98.17</v>
      </c>
      <c r="H15" s="1">
        <v>16200</v>
      </c>
      <c r="I15" s="1">
        <v>1095848.53</v>
      </c>
      <c r="J15" s="1">
        <v>953957.86</v>
      </c>
      <c r="K15" s="1">
        <v>94.65</v>
      </c>
      <c r="L15" s="1">
        <v>0.91214731299999996</v>
      </c>
      <c r="M15" s="1">
        <v>1051771.27</v>
      </c>
      <c r="N15" s="1">
        <v>1208487.6399999999</v>
      </c>
      <c r="O15" s="1">
        <v>721370.13</v>
      </c>
      <c r="P15" s="1">
        <v>102.26</v>
      </c>
      <c r="Q15" s="1">
        <v>860585.93</v>
      </c>
      <c r="R15" s="1">
        <v>2472.81</v>
      </c>
      <c r="S15" s="14">
        <f t="shared" si="0"/>
        <v>491903583.73624134</v>
      </c>
      <c r="T15" s="14">
        <f t="shared" si="1"/>
        <v>152933442.26375866</v>
      </c>
      <c r="W15" s="10" t="s">
        <v>43</v>
      </c>
      <c r="X15" s="10">
        <v>143</v>
      </c>
      <c r="Y15" s="10">
        <v>1.405661190172053E+20</v>
      </c>
      <c r="Z15" s="10"/>
      <c r="AA15" s="10"/>
      <c r="AB15" s="10"/>
    </row>
    <row r="16" spans="1:37" ht="16.8" customHeight="1" thickBot="1" x14ac:dyDescent="0.35">
      <c r="A16" s="7">
        <v>40969</v>
      </c>
      <c r="B16" s="5">
        <v>721740438.60000002</v>
      </c>
      <c r="C16" s="1">
        <v>92.88</v>
      </c>
      <c r="D16" s="1">
        <v>1047.23</v>
      </c>
      <c r="E16" s="1">
        <v>1223.25</v>
      </c>
      <c r="F16" s="1">
        <v>94.45</v>
      </c>
      <c r="G16" s="1">
        <v>98.85</v>
      </c>
      <c r="H16" s="1">
        <v>15700</v>
      </c>
      <c r="I16" s="1">
        <v>1276965.69</v>
      </c>
      <c r="J16" s="1">
        <v>983199.97</v>
      </c>
      <c r="K16" s="1">
        <v>94.84</v>
      </c>
      <c r="L16" s="1">
        <v>0.91214731299999996</v>
      </c>
      <c r="M16" s="1">
        <v>1301492.25</v>
      </c>
      <c r="N16" s="1">
        <v>1372475.52</v>
      </c>
      <c r="O16" s="1">
        <v>710446.87</v>
      </c>
      <c r="P16" s="1">
        <v>106.15</v>
      </c>
      <c r="Q16" s="1">
        <v>878658.39</v>
      </c>
      <c r="R16" s="1">
        <v>2864.85</v>
      </c>
      <c r="S16" s="14">
        <f t="shared" si="0"/>
        <v>637103737.740839</v>
      </c>
      <c r="T16" s="14">
        <f t="shared" si="1"/>
        <v>84636700.859161019</v>
      </c>
    </row>
    <row r="17" spans="1:31" x14ac:dyDescent="0.3">
      <c r="A17" s="7">
        <v>41000</v>
      </c>
      <c r="B17" s="5">
        <v>840048569.70000005</v>
      </c>
      <c r="C17" s="1">
        <v>92.43</v>
      </c>
      <c r="D17" s="1">
        <v>1206.78</v>
      </c>
      <c r="E17" s="1">
        <v>1421.55</v>
      </c>
      <c r="F17" s="1">
        <v>91.32</v>
      </c>
      <c r="G17" s="1">
        <v>97.27</v>
      </c>
      <c r="H17" s="1">
        <v>15600</v>
      </c>
      <c r="I17" s="1">
        <v>1253704.1499999999</v>
      </c>
      <c r="J17" s="1">
        <v>1004102.71</v>
      </c>
      <c r="K17" s="1">
        <v>94.27</v>
      </c>
      <c r="L17" s="1">
        <v>0.91214731299999996</v>
      </c>
      <c r="M17" s="1">
        <v>1038065.77</v>
      </c>
      <c r="N17" s="1">
        <v>1431169.27</v>
      </c>
      <c r="O17" s="1">
        <v>825850.83</v>
      </c>
      <c r="P17" s="1">
        <v>103.28</v>
      </c>
      <c r="Q17" s="1">
        <v>811132.52</v>
      </c>
      <c r="R17" s="1">
        <v>2912.31</v>
      </c>
      <c r="S17" s="14">
        <f t="shared" si="0"/>
        <v>817601330.697402</v>
      </c>
      <c r="T17" s="14">
        <f t="shared" si="1"/>
        <v>22447239.002598047</v>
      </c>
      <c r="W17" s="11"/>
      <c r="X17" s="11" t="s">
        <v>44</v>
      </c>
      <c r="Y17" s="11" t="s">
        <v>31</v>
      </c>
      <c r="Z17" s="11" t="s">
        <v>45</v>
      </c>
      <c r="AA17" s="16" t="s">
        <v>46</v>
      </c>
      <c r="AB17" s="11" t="s">
        <v>47</v>
      </c>
      <c r="AC17" s="11" t="s">
        <v>48</v>
      </c>
      <c r="AD17" s="11" t="s">
        <v>49</v>
      </c>
      <c r="AE17" s="11" t="s">
        <v>50</v>
      </c>
    </row>
    <row r="18" spans="1:31" x14ac:dyDescent="0.3">
      <c r="A18" s="7">
        <v>41030</v>
      </c>
      <c r="B18" s="5">
        <v>906526843.5</v>
      </c>
      <c r="C18" s="1">
        <v>93.49</v>
      </c>
      <c r="D18" s="1">
        <v>1326.71</v>
      </c>
      <c r="E18" s="1">
        <v>1445.41</v>
      </c>
      <c r="F18" s="1">
        <v>94.43</v>
      </c>
      <c r="G18" s="1">
        <v>97.95</v>
      </c>
      <c r="H18" s="1">
        <v>16700</v>
      </c>
      <c r="I18" s="1">
        <v>1229687.1599999999</v>
      </c>
      <c r="J18" s="1">
        <v>1027754.07</v>
      </c>
      <c r="K18" s="1">
        <v>94.4</v>
      </c>
      <c r="L18" s="1">
        <v>1.044546159</v>
      </c>
      <c r="M18" s="1">
        <v>999512.37</v>
      </c>
      <c r="N18" s="1">
        <v>1594979.64</v>
      </c>
      <c r="O18" s="1">
        <v>846790.92</v>
      </c>
      <c r="P18" s="1">
        <v>94.51</v>
      </c>
      <c r="Q18" s="1">
        <v>823749.66</v>
      </c>
      <c r="R18" s="1">
        <v>3079.71</v>
      </c>
      <c r="S18" s="14">
        <f t="shared" si="0"/>
        <v>1070917537.0382991</v>
      </c>
      <c r="T18" s="14">
        <f t="shared" si="1"/>
        <v>-164390693.53829908</v>
      </c>
      <c r="W18" t="s">
        <v>51</v>
      </c>
      <c r="X18">
        <v>-3220034731.1385732</v>
      </c>
      <c r="Y18">
        <v>301686809.40259928</v>
      </c>
      <c r="Z18">
        <v>-10.67343559870878</v>
      </c>
      <c r="AA18" s="19">
        <v>2.2412791232527131E-19</v>
      </c>
      <c r="AB18">
        <v>-3817018482.9466128</v>
      </c>
      <c r="AC18">
        <v>-2623050979.330533</v>
      </c>
      <c r="AD18">
        <v>-3817018482.9466128</v>
      </c>
      <c r="AE18">
        <v>-2623050979.330533</v>
      </c>
    </row>
    <row r="19" spans="1:31" x14ac:dyDescent="0.3">
      <c r="A19" s="7">
        <v>41061</v>
      </c>
      <c r="B19" s="5">
        <v>943162982.5</v>
      </c>
      <c r="C19" s="1">
        <v>93.3</v>
      </c>
      <c r="D19" s="1">
        <v>1315.03</v>
      </c>
      <c r="E19" s="1">
        <v>1425.66</v>
      </c>
      <c r="F19" s="1">
        <v>89.2</v>
      </c>
      <c r="G19" s="1">
        <v>98.29</v>
      </c>
      <c r="H19" s="1">
        <v>16600</v>
      </c>
      <c r="I19" s="1">
        <v>1131557.23</v>
      </c>
      <c r="J19" s="1">
        <v>1004421.08</v>
      </c>
      <c r="K19" s="1">
        <v>93.42</v>
      </c>
      <c r="L19" s="1">
        <v>1.044546159</v>
      </c>
      <c r="M19" s="1">
        <v>1059742.48</v>
      </c>
      <c r="N19" s="1">
        <v>1260026.28</v>
      </c>
      <c r="O19" s="1">
        <v>663816.18999999994</v>
      </c>
      <c r="P19" s="1">
        <v>82.36</v>
      </c>
      <c r="Q19" s="1">
        <v>770083.61</v>
      </c>
      <c r="R19" s="1">
        <v>3191.87</v>
      </c>
      <c r="S19" s="14">
        <f t="shared" si="0"/>
        <v>1046751396.5106549</v>
      </c>
      <c r="T19" s="14">
        <f t="shared" si="1"/>
        <v>-103588414.01065493</v>
      </c>
      <c r="W19" t="s">
        <v>2</v>
      </c>
      <c r="X19">
        <v>18546278.976965722</v>
      </c>
      <c r="Y19">
        <v>2387415.2104818118</v>
      </c>
      <c r="Z19">
        <v>7.7683508488759418</v>
      </c>
      <c r="AA19" s="19">
        <v>2.326936445303658E-12</v>
      </c>
      <c r="AB19">
        <v>13822015.121017581</v>
      </c>
      <c r="AC19">
        <v>23270542.832913861</v>
      </c>
      <c r="AD19">
        <v>13822015.121017581</v>
      </c>
      <c r="AE19">
        <v>23270542.832913861</v>
      </c>
    </row>
    <row r="20" spans="1:31" x14ac:dyDescent="0.3">
      <c r="A20" s="7">
        <v>41091</v>
      </c>
      <c r="B20" s="5">
        <v>947372879.70000005</v>
      </c>
      <c r="C20" s="1">
        <v>92.65</v>
      </c>
      <c r="D20" s="1">
        <v>1310.5</v>
      </c>
      <c r="E20" s="1">
        <v>1349.99</v>
      </c>
      <c r="F20" s="1">
        <v>93.65</v>
      </c>
      <c r="G20" s="1">
        <v>98.17</v>
      </c>
      <c r="H20" s="1">
        <v>16300</v>
      </c>
      <c r="I20" s="1">
        <v>1239355.96</v>
      </c>
      <c r="J20" s="1">
        <v>1142068.53</v>
      </c>
      <c r="K20" s="1">
        <v>93.97</v>
      </c>
      <c r="L20" s="1">
        <v>1.044546159</v>
      </c>
      <c r="M20" s="1">
        <v>994198.51</v>
      </c>
      <c r="N20" s="1">
        <v>1476620.89</v>
      </c>
      <c r="O20" s="1">
        <v>882367.59</v>
      </c>
      <c r="P20" s="1">
        <v>87.89</v>
      </c>
      <c r="Q20" s="1">
        <v>877258.05</v>
      </c>
      <c r="R20" s="1">
        <v>3378.79</v>
      </c>
      <c r="S20" s="14">
        <f t="shared" si="0"/>
        <v>1070001872.9275913</v>
      </c>
      <c r="T20" s="14">
        <f t="shared" si="1"/>
        <v>-122628993.22759128</v>
      </c>
      <c r="W20" t="s">
        <v>3</v>
      </c>
      <c r="X20">
        <v>1206188.070914224</v>
      </c>
      <c r="Y20">
        <v>80064.367931129716</v>
      </c>
      <c r="Z20">
        <v>15.065229415809171</v>
      </c>
      <c r="AA20" s="19">
        <v>4.7498289450469248E-30</v>
      </c>
      <c r="AB20">
        <v>1047755.135618468</v>
      </c>
      <c r="AC20">
        <v>1364621.00620998</v>
      </c>
      <c r="AD20">
        <v>1047755.135618468</v>
      </c>
      <c r="AE20">
        <v>1364621.00620998</v>
      </c>
    </row>
    <row r="21" spans="1:31" x14ac:dyDescent="0.3">
      <c r="A21" s="7">
        <v>41122</v>
      </c>
      <c r="B21" s="5">
        <v>969690342.79999995</v>
      </c>
      <c r="C21" s="1">
        <v>92.52</v>
      </c>
      <c r="D21" s="1">
        <v>1262.32</v>
      </c>
      <c r="E21" s="1">
        <v>1363.41</v>
      </c>
      <c r="F21" s="1">
        <v>94.5</v>
      </c>
      <c r="G21" s="1">
        <v>97.95</v>
      </c>
      <c r="H21" s="1">
        <v>16700</v>
      </c>
      <c r="I21" s="1">
        <v>1006241.72</v>
      </c>
      <c r="J21" s="1">
        <v>1019774.61</v>
      </c>
      <c r="K21" s="1">
        <v>94.73</v>
      </c>
      <c r="L21" s="1">
        <v>1.0556461029999999</v>
      </c>
      <c r="M21" s="1">
        <v>888337.65</v>
      </c>
      <c r="N21" s="1">
        <v>1319958.1399999999</v>
      </c>
      <c r="O21" s="1">
        <v>817854.68</v>
      </c>
      <c r="P21" s="1">
        <v>94.11</v>
      </c>
      <c r="Q21" s="1">
        <v>799083.84</v>
      </c>
      <c r="R21" s="1">
        <v>2813.74</v>
      </c>
      <c r="S21" s="14">
        <f t="shared" si="0"/>
        <v>931059081.61208439</v>
      </c>
      <c r="T21" s="14">
        <f t="shared" si="1"/>
        <v>38631261.187915564</v>
      </c>
      <c r="W21" t="s">
        <v>4</v>
      </c>
      <c r="X21">
        <v>-80927.70352657992</v>
      </c>
      <c r="Y21">
        <v>49312.626936656059</v>
      </c>
      <c r="Z21">
        <v>-1.6411152387102519</v>
      </c>
      <c r="AA21" s="17">
        <v>0.1032477681061056</v>
      </c>
      <c r="AB21">
        <v>-178508.49301634909</v>
      </c>
      <c r="AC21">
        <v>16653.085963189271</v>
      </c>
      <c r="AD21">
        <v>-178508.49301634909</v>
      </c>
      <c r="AE21">
        <v>16653.085963189271</v>
      </c>
    </row>
    <row r="22" spans="1:31" x14ac:dyDescent="0.3">
      <c r="A22" s="7">
        <v>41153</v>
      </c>
      <c r="B22" s="5">
        <v>955855309.39999998</v>
      </c>
      <c r="C22" s="1">
        <v>97.02</v>
      </c>
      <c r="D22" s="1">
        <v>1226.54</v>
      </c>
      <c r="E22" s="1">
        <v>1263.78</v>
      </c>
      <c r="F22" s="1">
        <v>90.74</v>
      </c>
      <c r="G22" s="1">
        <v>97.27</v>
      </c>
      <c r="H22" s="1">
        <v>18200</v>
      </c>
      <c r="I22" s="1">
        <v>1217890.53</v>
      </c>
      <c r="J22" s="1">
        <v>1043345.91</v>
      </c>
      <c r="K22" s="1">
        <v>95.38</v>
      </c>
      <c r="L22" s="1">
        <v>1.0556461029999999</v>
      </c>
      <c r="M22" s="1">
        <v>1084001.54</v>
      </c>
      <c r="N22" s="1">
        <v>1438758.59</v>
      </c>
      <c r="O22" s="1">
        <v>973085.71</v>
      </c>
      <c r="P22" s="1">
        <v>94.61</v>
      </c>
      <c r="Q22" s="1">
        <v>804861.2</v>
      </c>
      <c r="R22" s="1">
        <v>2562.2199999999998</v>
      </c>
      <c r="S22" s="14">
        <f t="shared" si="0"/>
        <v>1032685321.6362319</v>
      </c>
      <c r="T22" s="14">
        <f t="shared" si="1"/>
        <v>-76830012.236231923</v>
      </c>
      <c r="W22" t="s">
        <v>5</v>
      </c>
      <c r="X22">
        <v>-1396400.6619297219</v>
      </c>
      <c r="Y22">
        <v>1434786.143357476</v>
      </c>
      <c r="Z22">
        <v>-0.97324654854978632</v>
      </c>
      <c r="AA22" s="17">
        <v>0.33228084533344221</v>
      </c>
      <c r="AB22">
        <v>-4235583.5105264643</v>
      </c>
      <c r="AC22">
        <v>1442782.18666702</v>
      </c>
      <c r="AD22">
        <v>-4235583.5105264643</v>
      </c>
      <c r="AE22">
        <v>1442782.18666702</v>
      </c>
    </row>
    <row r="23" spans="1:31" x14ac:dyDescent="0.3">
      <c r="A23" s="7">
        <v>41183</v>
      </c>
      <c r="B23" s="5">
        <v>909802011.20000005</v>
      </c>
      <c r="C23" s="1">
        <v>93.25</v>
      </c>
      <c r="D23" s="1">
        <v>1182.72</v>
      </c>
      <c r="E23" s="1">
        <v>1214.06</v>
      </c>
      <c r="F23" s="1">
        <v>93.18</v>
      </c>
      <c r="G23" s="1">
        <v>96.82</v>
      </c>
      <c r="H23" s="1">
        <v>18900</v>
      </c>
      <c r="I23" s="1">
        <v>1214003.1000000001</v>
      </c>
      <c r="J23" s="1">
        <v>1052122.31</v>
      </c>
      <c r="K23" s="1">
        <v>95.09</v>
      </c>
      <c r="L23" s="1">
        <v>1.0556461029999999</v>
      </c>
      <c r="M23" s="1">
        <v>1041758.43</v>
      </c>
      <c r="N23" s="1">
        <v>1417479.12</v>
      </c>
      <c r="O23" s="1">
        <v>824919.49</v>
      </c>
      <c r="P23" s="1">
        <v>89.52</v>
      </c>
      <c r="Q23" s="1">
        <v>827916.88</v>
      </c>
      <c r="R23" s="1">
        <v>2852.84</v>
      </c>
      <c r="S23" s="14">
        <f t="shared" si="0"/>
        <v>923508399.58673668</v>
      </c>
      <c r="T23" s="14">
        <f t="shared" si="1"/>
        <v>-13706388.386736631</v>
      </c>
      <c r="W23" t="s">
        <v>6</v>
      </c>
      <c r="X23">
        <v>-2338135.6484067268</v>
      </c>
      <c r="Y23">
        <v>3601232.1811166401</v>
      </c>
      <c r="Z23">
        <v>-0.64925990072701667</v>
      </c>
      <c r="AA23" s="17">
        <v>0.51734286571103716</v>
      </c>
      <c r="AB23">
        <v>-9464324.2374009006</v>
      </c>
      <c r="AC23">
        <v>4788052.940587447</v>
      </c>
      <c r="AD23">
        <v>-9464324.2374009006</v>
      </c>
      <c r="AE23">
        <v>4788052.940587447</v>
      </c>
    </row>
    <row r="24" spans="1:31" x14ac:dyDescent="0.3">
      <c r="A24" s="7">
        <v>41214</v>
      </c>
      <c r="B24" s="5">
        <v>860151481.89999998</v>
      </c>
      <c r="C24" s="1">
        <v>93.76</v>
      </c>
      <c r="D24" s="1">
        <v>1152.8499999999999</v>
      </c>
      <c r="E24" s="1">
        <v>1134.98</v>
      </c>
      <c r="F24" s="1">
        <v>91.43</v>
      </c>
      <c r="G24" s="1">
        <v>96.49</v>
      </c>
      <c r="H24" s="1">
        <v>18500</v>
      </c>
      <c r="I24" s="1">
        <v>1043330.52</v>
      </c>
      <c r="J24" s="1">
        <v>775868.96</v>
      </c>
      <c r="K24" s="1">
        <v>95.6</v>
      </c>
      <c r="L24" s="1">
        <v>0.98766042499999995</v>
      </c>
      <c r="M24" s="1">
        <v>1014513.05</v>
      </c>
      <c r="N24" s="1">
        <v>1091874.5900000001</v>
      </c>
      <c r="O24" s="1">
        <v>931072.17</v>
      </c>
      <c r="P24" s="1">
        <v>86.69</v>
      </c>
      <c r="Q24" s="1">
        <v>766407.76</v>
      </c>
      <c r="R24" s="1">
        <v>2554.64</v>
      </c>
      <c r="S24" s="14">
        <f t="shared" si="0"/>
        <v>868999616.02565241</v>
      </c>
      <c r="T24" s="14">
        <f t="shared" si="1"/>
        <v>-8848134.1256524324</v>
      </c>
      <c r="W24" t="s">
        <v>7</v>
      </c>
      <c r="X24">
        <v>573.56006181392297</v>
      </c>
      <c r="Y24">
        <v>239.39431819863731</v>
      </c>
      <c r="Z24">
        <v>2.3958800113961431</v>
      </c>
      <c r="AA24" s="19">
        <v>1.8039410664945379E-2</v>
      </c>
      <c r="AB24">
        <v>99.841908465588517</v>
      </c>
      <c r="AC24">
        <v>1047.2782151622571</v>
      </c>
      <c r="AD24">
        <v>99.841908465588517</v>
      </c>
      <c r="AE24">
        <v>1047.2782151622571</v>
      </c>
    </row>
    <row r="25" spans="1:31" x14ac:dyDescent="0.3">
      <c r="A25" s="7">
        <v>41244</v>
      </c>
      <c r="B25" s="5">
        <v>859447165.10000002</v>
      </c>
      <c r="C25" s="1">
        <v>94.78</v>
      </c>
      <c r="D25" s="1">
        <v>1106.92</v>
      </c>
      <c r="E25" s="1">
        <v>1141.6300000000001</v>
      </c>
      <c r="F25" s="1">
        <v>89.61</v>
      </c>
      <c r="G25" s="1">
        <v>96.94</v>
      </c>
      <c r="H25" s="1">
        <v>20300</v>
      </c>
      <c r="I25" s="1">
        <v>1170668.8500000001</v>
      </c>
      <c r="J25" s="1">
        <v>991842.54</v>
      </c>
      <c r="K25" s="1">
        <v>95.86</v>
      </c>
      <c r="L25" s="1">
        <v>0.98766042499999995</v>
      </c>
      <c r="M25" s="1">
        <v>1050359.06</v>
      </c>
      <c r="N25" s="1">
        <v>1402481.68</v>
      </c>
      <c r="O25" s="1">
        <v>961490.82</v>
      </c>
      <c r="P25" s="1">
        <v>88.19</v>
      </c>
      <c r="Q25" s="1">
        <v>857228.43</v>
      </c>
      <c r="R25" s="1">
        <v>3034.79</v>
      </c>
      <c r="S25" s="14">
        <f t="shared" si="0"/>
        <v>861254016.51673603</v>
      </c>
      <c r="T25" s="14">
        <f t="shared" si="1"/>
        <v>-1806851.4167360067</v>
      </c>
      <c r="W25" t="s">
        <v>8</v>
      </c>
      <c r="X25">
        <v>253.91174016624089</v>
      </c>
      <c r="Y25">
        <v>82.12624763780498</v>
      </c>
      <c r="Z25">
        <v>3.0917246004718031</v>
      </c>
      <c r="AA25" s="19">
        <v>2.4465626211216101E-3</v>
      </c>
      <c r="AB25">
        <v>91.39871702870829</v>
      </c>
      <c r="AC25">
        <v>416.42476330377349</v>
      </c>
      <c r="AD25">
        <v>91.39871702870829</v>
      </c>
      <c r="AE25">
        <v>416.42476330377349</v>
      </c>
    </row>
    <row r="26" spans="1:31" x14ac:dyDescent="0.3">
      <c r="A26" s="7">
        <v>41275</v>
      </c>
      <c r="B26" s="5">
        <v>925917386.20000005</v>
      </c>
      <c r="C26" s="1">
        <v>95.18</v>
      </c>
      <c r="D26" s="1">
        <v>1123.79</v>
      </c>
      <c r="E26" s="1">
        <v>1230.0999999999999</v>
      </c>
      <c r="F26" s="1">
        <v>93.64</v>
      </c>
      <c r="G26" s="1">
        <v>96.71</v>
      </c>
      <c r="H26" s="1">
        <v>19300</v>
      </c>
      <c r="I26" s="1">
        <v>1416346.7</v>
      </c>
      <c r="J26" s="1">
        <v>1168284.24</v>
      </c>
      <c r="K26" s="1">
        <v>96.41</v>
      </c>
      <c r="L26" s="1">
        <v>0.98766042499999995</v>
      </c>
      <c r="M26" s="1">
        <v>1042104.37</v>
      </c>
      <c r="N26" s="1">
        <v>1628719.58</v>
      </c>
      <c r="O26" s="1">
        <v>889374.08</v>
      </c>
      <c r="P26" s="1">
        <v>94.65</v>
      </c>
      <c r="Q26" s="1">
        <v>846803.44</v>
      </c>
      <c r="R26" s="1">
        <v>3218.93</v>
      </c>
      <c r="S26" s="14">
        <f t="shared" si="0"/>
        <v>896418197.58173466</v>
      </c>
      <c r="T26" s="14">
        <f t="shared" si="1"/>
        <v>29499188.61826539</v>
      </c>
      <c r="W26" t="s">
        <v>9</v>
      </c>
      <c r="X26">
        <v>-141.75373813807619</v>
      </c>
      <c r="Y26">
        <v>102.19775002014021</v>
      </c>
      <c r="Z26">
        <v>-1.38705341468027</v>
      </c>
      <c r="AA26" s="17">
        <v>0.1678550029683975</v>
      </c>
      <c r="AB26">
        <v>-343.98464228060868</v>
      </c>
      <c r="AC26">
        <v>60.477166004456357</v>
      </c>
      <c r="AD26">
        <v>-343.98464228060868</v>
      </c>
      <c r="AE26">
        <v>60.477166004456357</v>
      </c>
    </row>
    <row r="27" spans="1:31" x14ac:dyDescent="0.3">
      <c r="A27" s="7">
        <v>41306</v>
      </c>
      <c r="B27" s="5">
        <v>761347210.5</v>
      </c>
      <c r="C27" s="1">
        <v>94.61</v>
      </c>
      <c r="D27" s="1">
        <v>1144.55</v>
      </c>
      <c r="E27" s="1">
        <v>1197.6199999999999</v>
      </c>
      <c r="F27" s="1">
        <v>76.930000000000007</v>
      </c>
      <c r="G27" s="1">
        <v>96.6</v>
      </c>
      <c r="H27" s="1">
        <v>18100</v>
      </c>
      <c r="I27" s="1">
        <v>1022272.11</v>
      </c>
      <c r="J27" s="1">
        <v>789478.27</v>
      </c>
      <c r="K27" s="1">
        <v>97.04</v>
      </c>
      <c r="L27" s="1">
        <v>0.91214731299999996</v>
      </c>
      <c r="M27" s="1">
        <v>1001193.42</v>
      </c>
      <c r="N27" s="1">
        <v>1258664.77</v>
      </c>
      <c r="O27" s="1">
        <v>533596.13</v>
      </c>
      <c r="P27" s="1">
        <v>95.3</v>
      </c>
      <c r="Q27" s="1">
        <v>636900.93999999994</v>
      </c>
      <c r="R27" s="1">
        <v>2269.16</v>
      </c>
      <c r="S27" s="14">
        <f t="shared" si="0"/>
        <v>753246148.36461544</v>
      </c>
      <c r="T27" s="14">
        <f t="shared" si="1"/>
        <v>8101062.1353845596</v>
      </c>
      <c r="W27" t="s">
        <v>10</v>
      </c>
      <c r="X27">
        <v>6058644.9589196825</v>
      </c>
      <c r="Y27">
        <v>3615098.2521784361</v>
      </c>
      <c r="Z27">
        <v>1.6759281591499711</v>
      </c>
      <c r="AA27" s="17">
        <v>9.6212485096358602E-2</v>
      </c>
      <c r="AB27">
        <v>-1094982.082361151</v>
      </c>
      <c r="AC27">
        <v>13212272.000200519</v>
      </c>
      <c r="AD27">
        <v>-1094982.082361151</v>
      </c>
      <c r="AE27">
        <v>13212272.000200519</v>
      </c>
    </row>
    <row r="28" spans="1:31" x14ac:dyDescent="0.3">
      <c r="A28" s="7">
        <v>41334</v>
      </c>
      <c r="B28" s="5">
        <v>839943452.60000002</v>
      </c>
      <c r="C28" s="1">
        <v>95.06</v>
      </c>
      <c r="D28" s="1">
        <v>1108.25</v>
      </c>
      <c r="E28" s="1">
        <v>1151.47</v>
      </c>
      <c r="F28" s="1">
        <v>94.22</v>
      </c>
      <c r="G28" s="1">
        <v>96.82</v>
      </c>
      <c r="H28" s="1">
        <v>17600</v>
      </c>
      <c r="I28" s="1">
        <v>1442498.4</v>
      </c>
      <c r="J28" s="1">
        <v>1139236.47</v>
      </c>
      <c r="K28" s="1">
        <v>96.33</v>
      </c>
      <c r="L28" s="1">
        <v>0.91214731299999996</v>
      </c>
      <c r="M28" s="1">
        <v>1252818.04</v>
      </c>
      <c r="N28" s="1">
        <v>1540499.93</v>
      </c>
      <c r="O28" s="1">
        <v>938509.96</v>
      </c>
      <c r="P28" s="1">
        <v>93.12</v>
      </c>
      <c r="Q28" s="1">
        <v>878857.01</v>
      </c>
      <c r="R28" s="1">
        <v>3258.93</v>
      </c>
      <c r="S28" s="14">
        <f t="shared" si="0"/>
        <v>853420479.83475924</v>
      </c>
      <c r="T28" s="14">
        <f t="shared" si="1"/>
        <v>-13477027.234759212</v>
      </c>
      <c r="W28" t="s">
        <v>11</v>
      </c>
      <c r="X28">
        <v>601609927.83345103</v>
      </c>
      <c r="Y28">
        <v>165187722.31417361</v>
      </c>
      <c r="Z28">
        <v>3.6419772571791871</v>
      </c>
      <c r="AA28" s="19">
        <v>3.9263387942249628E-4</v>
      </c>
      <c r="AB28">
        <v>274733236.02509379</v>
      </c>
      <c r="AC28">
        <v>928486619.64180827</v>
      </c>
      <c r="AD28">
        <v>274733236.02509379</v>
      </c>
      <c r="AE28">
        <v>928486619.64180827</v>
      </c>
    </row>
    <row r="29" spans="1:31" x14ac:dyDescent="0.3">
      <c r="A29" s="7">
        <v>41365</v>
      </c>
      <c r="B29" s="5">
        <v>865907095</v>
      </c>
      <c r="C29" s="1">
        <v>94.2</v>
      </c>
      <c r="D29" s="1">
        <v>1102.67</v>
      </c>
      <c r="E29" s="1">
        <v>1101.6400000000001</v>
      </c>
      <c r="F29" s="1">
        <v>92.2</v>
      </c>
      <c r="G29" s="1">
        <v>96.49</v>
      </c>
      <c r="H29" s="1">
        <v>17600</v>
      </c>
      <c r="I29" s="1">
        <v>1244971.8999999999</v>
      </c>
      <c r="J29" s="1">
        <v>993808.57</v>
      </c>
      <c r="K29" s="1">
        <v>96.51</v>
      </c>
      <c r="L29" s="1">
        <v>0.91214731299999996</v>
      </c>
      <c r="M29" s="1">
        <v>925358.53</v>
      </c>
      <c r="N29" s="1">
        <v>1336201.47</v>
      </c>
      <c r="O29" s="1">
        <v>637175.16</v>
      </c>
      <c r="P29" s="1">
        <v>92.02</v>
      </c>
      <c r="Q29" s="1">
        <v>810061.27</v>
      </c>
      <c r="R29" s="1">
        <v>2755.83</v>
      </c>
      <c r="S29" s="14">
        <f t="shared" si="0"/>
        <v>771378529.35093546</v>
      </c>
      <c r="T29" s="14">
        <f t="shared" si="1"/>
        <v>94528565.649064541</v>
      </c>
      <c r="W29" t="s">
        <v>12</v>
      </c>
      <c r="X29">
        <v>-40.735374779848023</v>
      </c>
      <c r="Y29">
        <v>92.096693160327249</v>
      </c>
      <c r="Z29">
        <v>-0.44231093844958719</v>
      </c>
      <c r="AA29" s="17">
        <v>0.65901655708401585</v>
      </c>
      <c r="AB29">
        <v>-222.97811028703831</v>
      </c>
      <c r="AC29">
        <v>141.5073607273423</v>
      </c>
      <c r="AD29">
        <v>-222.97811028703831</v>
      </c>
      <c r="AE29">
        <v>141.5073607273423</v>
      </c>
    </row>
    <row r="30" spans="1:31" x14ac:dyDescent="0.3">
      <c r="A30" s="7">
        <v>41395</v>
      </c>
      <c r="B30" s="5">
        <v>900888985.5</v>
      </c>
      <c r="C30" s="1">
        <v>95.4</v>
      </c>
      <c r="D30" s="1">
        <v>1069.97</v>
      </c>
      <c r="E30" s="1">
        <v>1009.48</v>
      </c>
      <c r="F30" s="1">
        <v>96.79</v>
      </c>
      <c r="G30" s="1">
        <v>97.39</v>
      </c>
      <c r="H30" s="1">
        <v>18900</v>
      </c>
      <c r="I30" s="1">
        <v>1327779.3899999999</v>
      </c>
      <c r="J30" s="1">
        <v>947472.34</v>
      </c>
      <c r="K30" s="1">
        <v>97.18</v>
      </c>
      <c r="L30" s="1">
        <v>1.044546159</v>
      </c>
      <c r="M30" s="1">
        <v>969946.14</v>
      </c>
      <c r="N30" s="1">
        <v>1146607.8799999999</v>
      </c>
      <c r="O30" s="1">
        <v>868583.01</v>
      </c>
      <c r="P30" s="1">
        <v>94.72</v>
      </c>
      <c r="Q30" s="1">
        <v>956409.08</v>
      </c>
      <c r="R30" s="1">
        <v>3344.42</v>
      </c>
      <c r="S30" s="14">
        <f t="shared" si="0"/>
        <v>934596950.96801996</v>
      </c>
      <c r="T30" s="14">
        <f t="shared" si="1"/>
        <v>-33707965.468019962</v>
      </c>
      <c r="W30" t="s">
        <v>13</v>
      </c>
      <c r="X30">
        <v>-33.249694197755403</v>
      </c>
      <c r="Y30">
        <v>57.015477500262683</v>
      </c>
      <c r="Z30">
        <v>-0.58316961736577966</v>
      </c>
      <c r="AA30" s="17">
        <v>0.56081325997941389</v>
      </c>
      <c r="AB30">
        <v>-146.07303485568619</v>
      </c>
      <c r="AC30">
        <v>79.573646460175439</v>
      </c>
      <c r="AD30">
        <v>-146.07303485568619</v>
      </c>
      <c r="AE30">
        <v>79.573646460175439</v>
      </c>
    </row>
    <row r="31" spans="1:31" x14ac:dyDescent="0.3">
      <c r="A31" s="7">
        <v>41426</v>
      </c>
      <c r="B31" s="5">
        <v>947114792.79999995</v>
      </c>
      <c r="C31" s="1">
        <v>95.2</v>
      </c>
      <c r="D31" s="1">
        <v>1022.99</v>
      </c>
      <c r="E31" s="1">
        <v>968.27</v>
      </c>
      <c r="F31" s="1">
        <v>93.46</v>
      </c>
      <c r="G31" s="1">
        <v>96.71</v>
      </c>
      <c r="H31" s="1">
        <v>18800</v>
      </c>
      <c r="I31" s="1">
        <v>1157915.44</v>
      </c>
      <c r="J31" s="1">
        <v>1093396.58</v>
      </c>
      <c r="K31" s="1">
        <v>97.58</v>
      </c>
      <c r="L31" s="1">
        <v>1.044546159</v>
      </c>
      <c r="M31" s="1">
        <v>1179727.54</v>
      </c>
      <c r="N31" s="1">
        <v>1276038.25</v>
      </c>
      <c r="O31" s="1">
        <v>792631.5</v>
      </c>
      <c r="P31" s="1">
        <v>95.79</v>
      </c>
      <c r="Q31" s="1">
        <v>911241.91</v>
      </c>
      <c r="R31" s="1">
        <v>3293.75</v>
      </c>
      <c r="S31" s="14">
        <f t="shared" si="0"/>
        <v>790960618.35051012</v>
      </c>
      <c r="T31" s="14">
        <f t="shared" si="1"/>
        <v>156154174.44948983</v>
      </c>
      <c r="W31" t="s">
        <v>14</v>
      </c>
      <c r="X31">
        <v>92.49533923797155</v>
      </c>
      <c r="Y31">
        <v>62.605856162133783</v>
      </c>
      <c r="Z31">
        <v>1.477423118349046</v>
      </c>
      <c r="AA31" s="17">
        <v>0.1420378462664009</v>
      </c>
      <c r="AB31">
        <v>-31.390351922455839</v>
      </c>
      <c r="AC31">
        <v>216.38103039839891</v>
      </c>
      <c r="AD31">
        <v>-31.390351922455839</v>
      </c>
      <c r="AE31">
        <v>216.38103039839891</v>
      </c>
    </row>
    <row r="32" spans="1:31" x14ac:dyDescent="0.3">
      <c r="A32" s="7">
        <v>41456</v>
      </c>
      <c r="B32" s="5">
        <v>884253253.89999998</v>
      </c>
      <c r="C32" s="1">
        <v>95.26</v>
      </c>
      <c r="D32" s="1">
        <v>1060.78</v>
      </c>
      <c r="E32" s="1">
        <v>1086.43</v>
      </c>
      <c r="F32" s="1">
        <v>98.63</v>
      </c>
      <c r="G32" s="1">
        <v>97.27</v>
      </c>
      <c r="H32" s="1">
        <v>18500</v>
      </c>
      <c r="I32" s="1">
        <v>1209102.1599999999</v>
      </c>
      <c r="J32" s="1">
        <v>1068886.27</v>
      </c>
      <c r="K32" s="1">
        <v>97.92</v>
      </c>
      <c r="L32" s="1">
        <v>1.044546159</v>
      </c>
      <c r="M32" s="1">
        <v>920062.44</v>
      </c>
      <c r="N32" s="1">
        <v>1354619.72</v>
      </c>
      <c r="O32" s="1">
        <v>725616.26</v>
      </c>
      <c r="P32" s="1">
        <v>104.55</v>
      </c>
      <c r="Q32" s="1">
        <v>900231.73</v>
      </c>
      <c r="R32" s="1">
        <v>2731.65</v>
      </c>
      <c r="S32" s="14">
        <f t="shared" si="0"/>
        <v>795352525.49142265</v>
      </c>
      <c r="T32" s="14">
        <f t="shared" si="1"/>
        <v>88900728.408577323</v>
      </c>
      <c r="W32" t="s">
        <v>15</v>
      </c>
      <c r="X32">
        <v>-2030386.891096568</v>
      </c>
      <c r="Y32">
        <v>538063.75449606706</v>
      </c>
      <c r="Z32">
        <v>-3.7735061582026872</v>
      </c>
      <c r="AA32" s="19">
        <v>2.458449900091079E-4</v>
      </c>
      <c r="AB32">
        <v>-3095117.9594089459</v>
      </c>
      <c r="AC32">
        <v>-965655.82278418937</v>
      </c>
      <c r="AD32">
        <v>-3095117.9594089459</v>
      </c>
      <c r="AE32">
        <v>-965655.82278418937</v>
      </c>
    </row>
    <row r="33" spans="1:39" x14ac:dyDescent="0.3">
      <c r="A33" s="7">
        <v>41487</v>
      </c>
      <c r="B33" s="5">
        <v>959370275.39999998</v>
      </c>
      <c r="C33" s="1">
        <v>96.29</v>
      </c>
      <c r="D33" s="1">
        <v>1126</v>
      </c>
      <c r="E33" s="1">
        <v>1117.32</v>
      </c>
      <c r="F33" s="1">
        <v>96.77</v>
      </c>
      <c r="G33" s="1">
        <v>97.39</v>
      </c>
      <c r="H33" s="1">
        <v>18900</v>
      </c>
      <c r="I33" s="1">
        <v>1304866.3400000001</v>
      </c>
      <c r="J33" s="1">
        <v>1022637.94</v>
      </c>
      <c r="K33" s="1">
        <v>97.37</v>
      </c>
      <c r="L33" s="1">
        <v>1.0556461029999999</v>
      </c>
      <c r="M33" s="1">
        <v>1128999.48</v>
      </c>
      <c r="N33" s="1">
        <v>1183707.51</v>
      </c>
      <c r="O33" s="1">
        <v>575690.31000000006</v>
      </c>
      <c r="P33" s="1">
        <v>106.55</v>
      </c>
      <c r="Q33" s="1">
        <v>889850</v>
      </c>
      <c r="R33" s="1">
        <v>2492.4899999999998</v>
      </c>
      <c r="S33" s="14">
        <f t="shared" si="0"/>
        <v>894437149.96336508</v>
      </c>
      <c r="T33" s="14">
        <f t="shared" si="1"/>
        <v>64933125.436634898</v>
      </c>
      <c r="W33" t="s">
        <v>16</v>
      </c>
      <c r="X33">
        <v>157.22977779120751</v>
      </c>
      <c r="Y33">
        <v>160.06430405791031</v>
      </c>
      <c r="Z33">
        <v>0.982291327954812</v>
      </c>
      <c r="AA33" s="17">
        <v>0.32782395108491319</v>
      </c>
      <c r="AB33">
        <v>-159.50859388720269</v>
      </c>
      <c r="AC33">
        <v>473.96814946961769</v>
      </c>
      <c r="AD33">
        <v>-159.50859388720269</v>
      </c>
      <c r="AE33">
        <v>473.96814946961769</v>
      </c>
    </row>
    <row r="34" spans="1:39" ht="16.8" customHeight="1" thickBot="1" x14ac:dyDescent="0.35">
      <c r="A34" s="7">
        <v>41518</v>
      </c>
      <c r="B34" s="5">
        <v>953423947.39999998</v>
      </c>
      <c r="C34" s="1">
        <v>96.34</v>
      </c>
      <c r="D34" s="1">
        <v>1108.58</v>
      </c>
      <c r="E34" s="1">
        <v>1001.31</v>
      </c>
      <c r="F34" s="1">
        <v>92.71</v>
      </c>
      <c r="G34" s="1">
        <v>97.27</v>
      </c>
      <c r="H34" s="1">
        <v>20700</v>
      </c>
      <c r="I34" s="1">
        <v>1248812.49</v>
      </c>
      <c r="J34" s="1">
        <v>1004517.85</v>
      </c>
      <c r="K34" s="1">
        <v>97.64</v>
      </c>
      <c r="L34" s="1">
        <v>1.0556461029999999</v>
      </c>
      <c r="M34" s="1">
        <v>1024200.67</v>
      </c>
      <c r="N34" s="1">
        <v>1412892.93</v>
      </c>
      <c r="O34" s="1">
        <v>906292.15</v>
      </c>
      <c r="P34" s="1">
        <v>106.31</v>
      </c>
      <c r="Q34" s="1">
        <v>829483.83</v>
      </c>
      <c r="R34" s="1">
        <v>3018.16</v>
      </c>
      <c r="S34" s="14">
        <f t="shared" ref="S34:S65" si="2">$W$38+SUMPRODUCT($X$38:$AM$38,C34:R34)</f>
        <v>922129912.2735672</v>
      </c>
      <c r="T34" s="14">
        <f t="shared" ref="T34:T65" si="3">B34-S34</f>
        <v>31294035.126432776</v>
      </c>
      <c r="W34" t="s">
        <v>17</v>
      </c>
      <c r="X34" s="10">
        <v>44155.11667845105</v>
      </c>
      <c r="Y34" s="10">
        <v>15766.32602199726</v>
      </c>
      <c r="Z34" s="10">
        <v>2.8005964494737459</v>
      </c>
      <c r="AA34" s="18">
        <v>5.8989298022779444E-3</v>
      </c>
      <c r="AB34" s="10">
        <v>12956.402755628929</v>
      </c>
      <c r="AC34" s="10">
        <v>75353.830601273163</v>
      </c>
      <c r="AD34" s="10">
        <v>12956.402755628929</v>
      </c>
      <c r="AE34" s="10">
        <v>75353.830601273163</v>
      </c>
    </row>
    <row r="35" spans="1:39" x14ac:dyDescent="0.3">
      <c r="A35" s="7">
        <v>41548</v>
      </c>
      <c r="B35" s="5">
        <v>845610436.70000005</v>
      </c>
      <c r="C35" s="1">
        <v>95.91</v>
      </c>
      <c r="D35" s="1">
        <v>1024.9000000000001</v>
      </c>
      <c r="E35" s="1">
        <v>893.44</v>
      </c>
      <c r="F35" s="1">
        <v>95.15</v>
      </c>
      <c r="G35" s="1">
        <v>97.16</v>
      </c>
      <c r="H35" s="1">
        <v>21500</v>
      </c>
      <c r="I35" s="1">
        <v>1365284.78</v>
      </c>
      <c r="J35" s="1">
        <v>1013113.38</v>
      </c>
      <c r="K35" s="1">
        <v>98.07</v>
      </c>
      <c r="L35" s="1">
        <v>1.0556461029999999</v>
      </c>
      <c r="M35" s="1">
        <v>1077984.6399999999</v>
      </c>
      <c r="N35" s="1">
        <v>1288155</v>
      </c>
      <c r="O35" s="1">
        <v>742273.4</v>
      </c>
      <c r="P35" s="1">
        <v>100.5</v>
      </c>
      <c r="Q35" s="1">
        <v>890673.92</v>
      </c>
      <c r="R35" s="1">
        <v>2775.86</v>
      </c>
      <c r="S35" s="14">
        <f t="shared" si="2"/>
        <v>847724427.18248558</v>
      </c>
      <c r="T35" s="14">
        <f t="shared" si="3"/>
        <v>-2113990.4824855328</v>
      </c>
    </row>
    <row r="36" spans="1:39" x14ac:dyDescent="0.3">
      <c r="A36" s="7">
        <v>41579</v>
      </c>
      <c r="B36" s="5">
        <v>871151610.39999998</v>
      </c>
      <c r="C36" s="1">
        <v>96.67</v>
      </c>
      <c r="D36" s="1">
        <v>1043.77</v>
      </c>
      <c r="E36" s="1">
        <v>1089.3499999999999</v>
      </c>
      <c r="F36" s="1">
        <v>92.99</v>
      </c>
      <c r="G36" s="1">
        <v>98.06</v>
      </c>
      <c r="H36" s="1">
        <v>21000</v>
      </c>
      <c r="I36" s="1">
        <v>1217562.25</v>
      </c>
      <c r="J36" s="1">
        <v>1036070.01</v>
      </c>
      <c r="K36" s="1">
        <v>97.73</v>
      </c>
      <c r="L36" s="1">
        <v>0.98766042499999995</v>
      </c>
      <c r="M36" s="1">
        <v>1053913.26</v>
      </c>
      <c r="N36" s="1">
        <v>1377516.85</v>
      </c>
      <c r="O36" s="1">
        <v>925452.43</v>
      </c>
      <c r="P36" s="1">
        <v>93.81</v>
      </c>
      <c r="Q36" s="1">
        <v>851025.95</v>
      </c>
      <c r="R36" s="1">
        <v>2983.69</v>
      </c>
      <c r="S36" s="14">
        <f t="shared" si="2"/>
        <v>817106187.83680105</v>
      </c>
      <c r="T36" s="14">
        <f t="shared" si="3"/>
        <v>54045422.563198924</v>
      </c>
    </row>
    <row r="37" spans="1:39" x14ac:dyDescent="0.3">
      <c r="A37" s="7">
        <v>41609</v>
      </c>
      <c r="B37" s="5">
        <v>910706403.20000005</v>
      </c>
      <c r="C37" s="1">
        <v>96.23</v>
      </c>
      <c r="D37" s="1">
        <v>1060.6500000000001</v>
      </c>
      <c r="E37" s="1">
        <v>1114.51</v>
      </c>
      <c r="F37" s="1">
        <v>96.2</v>
      </c>
      <c r="G37" s="1">
        <v>97.5</v>
      </c>
      <c r="H37" s="1">
        <v>23100</v>
      </c>
      <c r="I37" s="1">
        <v>1267429.05</v>
      </c>
      <c r="J37" s="1">
        <v>1057666.8799999999</v>
      </c>
      <c r="K37" s="1">
        <v>98.1</v>
      </c>
      <c r="L37" s="1">
        <v>0.98766042499999995</v>
      </c>
      <c r="M37" s="1">
        <v>928497.47</v>
      </c>
      <c r="N37" s="1">
        <v>1299438.6100000001</v>
      </c>
      <c r="O37" s="1">
        <v>874401.46</v>
      </c>
      <c r="P37" s="1">
        <v>97.9</v>
      </c>
      <c r="Q37" s="1">
        <v>919444.32</v>
      </c>
      <c r="R37" s="1">
        <v>3973.48</v>
      </c>
      <c r="S37" s="14">
        <f t="shared" si="2"/>
        <v>886283927.90450096</v>
      </c>
      <c r="T37" s="14">
        <f t="shared" si="3"/>
        <v>24422475.295499086</v>
      </c>
    </row>
    <row r="38" spans="1:39" ht="16.8" customHeight="1" thickBot="1" x14ac:dyDescent="0.35">
      <c r="A38" s="7">
        <v>41640</v>
      </c>
      <c r="B38" s="5">
        <v>918238567.29999995</v>
      </c>
      <c r="C38" s="1">
        <v>98.24</v>
      </c>
      <c r="D38" s="1">
        <v>1128.73</v>
      </c>
      <c r="E38" s="1">
        <v>1173.99</v>
      </c>
      <c r="F38" s="1">
        <v>92.2</v>
      </c>
      <c r="G38" s="1">
        <v>97.5</v>
      </c>
      <c r="H38" s="1">
        <v>21600</v>
      </c>
      <c r="I38" s="1">
        <v>1395134.83</v>
      </c>
      <c r="J38" s="1">
        <v>916061.6</v>
      </c>
      <c r="K38" s="1">
        <v>96.8</v>
      </c>
      <c r="L38" s="1">
        <v>0.98766042499999995</v>
      </c>
      <c r="M38" s="1">
        <v>1182571.3799999999</v>
      </c>
      <c r="N38" s="1">
        <v>1118453.1599999999</v>
      </c>
      <c r="O38" s="1">
        <v>912305.05</v>
      </c>
      <c r="P38" s="1">
        <v>95</v>
      </c>
      <c r="Q38" s="1">
        <v>767147.78</v>
      </c>
      <c r="R38" s="1">
        <v>2778.51</v>
      </c>
      <c r="S38" s="14">
        <f t="shared" si="2"/>
        <v>978566102.82871819</v>
      </c>
      <c r="T38" s="14">
        <f t="shared" si="3"/>
        <v>-60327535.528718233</v>
      </c>
      <c r="W38">
        <v>-3220034731.1385732</v>
      </c>
      <c r="X38">
        <v>18546278.976965722</v>
      </c>
      <c r="Y38">
        <v>1206188.070914224</v>
      </c>
      <c r="Z38">
        <v>-80927.70352657992</v>
      </c>
      <c r="AA38">
        <v>-1396400.6619297219</v>
      </c>
      <c r="AB38">
        <v>-2338135.6484067268</v>
      </c>
      <c r="AC38">
        <v>573.56006181392297</v>
      </c>
      <c r="AD38">
        <v>253.91174016624089</v>
      </c>
      <c r="AE38">
        <v>-141.75373813807619</v>
      </c>
      <c r="AF38">
        <v>6058644.9589196825</v>
      </c>
      <c r="AG38">
        <v>601609927.83345103</v>
      </c>
      <c r="AH38">
        <v>-40.735374779848023</v>
      </c>
      <c r="AI38">
        <v>-33.249694197755403</v>
      </c>
      <c r="AJ38">
        <v>92.49533923797155</v>
      </c>
      <c r="AK38">
        <v>-2030386.891096568</v>
      </c>
      <c r="AL38">
        <v>157.22977779120751</v>
      </c>
      <c r="AM38" s="10">
        <v>44155.11667845105</v>
      </c>
    </row>
    <row r="39" spans="1:39" ht="16.8" customHeight="1" thickBot="1" x14ac:dyDescent="0.35">
      <c r="A39" s="7">
        <v>41671</v>
      </c>
      <c r="B39" s="5">
        <v>751231030.10000002</v>
      </c>
      <c r="C39" s="1">
        <v>96.86</v>
      </c>
      <c r="D39" s="1">
        <v>1149.43</v>
      </c>
      <c r="E39" s="1">
        <v>1065.8499999999999</v>
      </c>
      <c r="F39" s="1">
        <v>82.69</v>
      </c>
      <c r="G39" s="1">
        <v>97.61</v>
      </c>
      <c r="H39" s="1">
        <v>20300</v>
      </c>
      <c r="I39" s="1">
        <v>1135066.29</v>
      </c>
      <c r="J39" s="1">
        <v>908922.54</v>
      </c>
      <c r="K39" s="1">
        <v>97.84</v>
      </c>
      <c r="L39" s="1">
        <v>0.91214731299999996</v>
      </c>
      <c r="M39" s="1">
        <v>1034190.82</v>
      </c>
      <c r="N39" s="1">
        <v>1212389.6200000001</v>
      </c>
      <c r="O39" s="1">
        <v>784315.66</v>
      </c>
      <c r="P39" s="1">
        <v>100.7</v>
      </c>
      <c r="Q39" s="1">
        <v>768370.84</v>
      </c>
      <c r="R39" s="1">
        <v>2636.25</v>
      </c>
      <c r="S39" s="14">
        <f t="shared" si="2"/>
        <v>868238032.22525072</v>
      </c>
      <c r="T39" s="14">
        <f t="shared" si="3"/>
        <v>-117007002.1252507</v>
      </c>
    </row>
    <row r="40" spans="1:39" x14ac:dyDescent="0.3">
      <c r="A40" s="7">
        <v>41699</v>
      </c>
      <c r="B40" s="5">
        <v>877090455.20000005</v>
      </c>
      <c r="C40" s="1">
        <v>98.56</v>
      </c>
      <c r="D40" s="1">
        <v>1072.02</v>
      </c>
      <c r="E40" s="1">
        <v>939.86</v>
      </c>
      <c r="F40" s="1">
        <v>97.27</v>
      </c>
      <c r="G40" s="1">
        <v>97.95</v>
      </c>
      <c r="H40" s="1">
        <v>19800</v>
      </c>
      <c r="I40" s="1">
        <v>1479984.75</v>
      </c>
      <c r="J40" s="1">
        <v>1142913.68</v>
      </c>
      <c r="K40" s="1">
        <v>99.07</v>
      </c>
      <c r="L40" s="1">
        <v>0.91214731299999996</v>
      </c>
      <c r="M40" s="1">
        <v>1231813.1499999999</v>
      </c>
      <c r="N40" s="1">
        <v>1332388.72</v>
      </c>
      <c r="O40" s="1">
        <v>811194.65</v>
      </c>
      <c r="P40" s="1">
        <v>100.57</v>
      </c>
      <c r="Q40" s="1">
        <v>888842.98</v>
      </c>
      <c r="R40" s="1">
        <v>3774.5</v>
      </c>
      <c r="S40" s="14">
        <f t="shared" si="2"/>
        <v>916923710.28829956</v>
      </c>
      <c r="T40" s="14">
        <f t="shared" si="3"/>
        <v>-39833255.088299513</v>
      </c>
      <c r="W40" s="11" t="s">
        <v>52</v>
      </c>
      <c r="X40" s="11" t="s">
        <v>53</v>
      </c>
    </row>
    <row r="41" spans="1:39" x14ac:dyDescent="0.3">
      <c r="A41" s="7">
        <v>41730</v>
      </c>
      <c r="B41" s="5">
        <v>911312078.79999995</v>
      </c>
      <c r="C41" s="1">
        <v>99.68</v>
      </c>
      <c r="D41" s="1">
        <v>1069.28</v>
      </c>
      <c r="E41" s="1">
        <v>1066.1500000000001</v>
      </c>
      <c r="F41" s="1">
        <v>96.48</v>
      </c>
      <c r="G41" s="1">
        <v>98.17</v>
      </c>
      <c r="H41" s="1">
        <v>19700</v>
      </c>
      <c r="I41" s="1">
        <v>1374577.45</v>
      </c>
      <c r="J41" s="1">
        <v>981636.16</v>
      </c>
      <c r="K41" s="1">
        <v>99.16</v>
      </c>
      <c r="L41" s="1">
        <v>0.91214731299999996</v>
      </c>
      <c r="M41" s="1">
        <v>1069454.6200000001</v>
      </c>
      <c r="N41" s="1">
        <v>1409416.27</v>
      </c>
      <c r="O41" s="1">
        <v>797590.43</v>
      </c>
      <c r="P41" s="1">
        <v>102.18</v>
      </c>
      <c r="Q41" s="1">
        <v>908705.94</v>
      </c>
      <c r="R41" s="1">
        <v>3337.61</v>
      </c>
      <c r="S41" s="14">
        <f t="shared" si="2"/>
        <v>904701919.94738007</v>
      </c>
      <c r="T41" s="14">
        <f t="shared" si="3"/>
        <v>6610158.8526198864</v>
      </c>
      <c r="W41">
        <v>0.34722222222222221</v>
      </c>
      <c r="X41">
        <v>442050146.30000001</v>
      </c>
    </row>
    <row r="42" spans="1:39" x14ac:dyDescent="0.3">
      <c r="A42" s="7">
        <v>41760</v>
      </c>
      <c r="B42" s="5">
        <v>977854756.89999998</v>
      </c>
      <c r="C42" s="1">
        <v>99.28</v>
      </c>
      <c r="D42" s="1">
        <v>1096.51</v>
      </c>
      <c r="E42" s="1">
        <v>1143.8699999999999</v>
      </c>
      <c r="F42" s="1">
        <v>100.62</v>
      </c>
      <c r="G42" s="1">
        <v>97.72</v>
      </c>
      <c r="H42" s="1">
        <v>21200</v>
      </c>
      <c r="I42" s="1">
        <v>1260853.56</v>
      </c>
      <c r="J42" s="1">
        <v>829892.43</v>
      </c>
      <c r="K42" s="1">
        <v>99.32</v>
      </c>
      <c r="L42" s="1">
        <v>1.044546159</v>
      </c>
      <c r="M42" s="1">
        <v>1155292.95</v>
      </c>
      <c r="N42" s="1">
        <v>1311546.68</v>
      </c>
      <c r="O42" s="1">
        <v>1025005.53</v>
      </c>
      <c r="P42" s="1">
        <v>102</v>
      </c>
      <c r="Q42" s="1">
        <v>920697.37</v>
      </c>
      <c r="R42" s="1">
        <v>3110.26</v>
      </c>
      <c r="S42" s="14">
        <f t="shared" si="2"/>
        <v>1006230392.2983994</v>
      </c>
      <c r="T42" s="14">
        <f t="shared" si="3"/>
        <v>-28375635.398399472</v>
      </c>
      <c r="W42">
        <v>1.041666666666667</v>
      </c>
      <c r="X42">
        <v>458910901.10000002</v>
      </c>
    </row>
    <row r="43" spans="1:39" x14ac:dyDescent="0.3">
      <c r="A43" s="7">
        <v>41791</v>
      </c>
      <c r="B43" s="5">
        <v>969604267.20000005</v>
      </c>
      <c r="C43" s="1">
        <v>99.89</v>
      </c>
      <c r="D43" s="1">
        <v>1098.22</v>
      </c>
      <c r="E43" s="1">
        <v>1067.05</v>
      </c>
      <c r="F43" s="1">
        <v>100.23</v>
      </c>
      <c r="G43" s="1">
        <v>98.06</v>
      </c>
      <c r="H43" s="1">
        <v>21200</v>
      </c>
      <c r="I43" s="1">
        <v>1380437.58</v>
      </c>
      <c r="J43" s="1">
        <v>1048351.17</v>
      </c>
      <c r="K43" s="1">
        <v>99.58</v>
      </c>
      <c r="L43" s="1">
        <v>1.044546159</v>
      </c>
      <c r="M43" s="1">
        <v>1124698.6100000001</v>
      </c>
      <c r="N43" s="1">
        <v>1609464.35</v>
      </c>
      <c r="O43" s="1">
        <v>823668.68</v>
      </c>
      <c r="P43" s="1">
        <v>105.24</v>
      </c>
      <c r="Q43" s="1">
        <v>894439.85</v>
      </c>
      <c r="R43" s="1">
        <v>3487.97</v>
      </c>
      <c r="S43" s="14">
        <f t="shared" si="2"/>
        <v>1005233183.4769735</v>
      </c>
      <c r="T43" s="14">
        <f t="shared" si="3"/>
        <v>-35628916.276973486</v>
      </c>
      <c r="W43">
        <v>1.7361111111111109</v>
      </c>
      <c r="X43">
        <v>465883225.39999998</v>
      </c>
    </row>
    <row r="44" spans="1:39" x14ac:dyDescent="0.3">
      <c r="A44" s="7">
        <v>41821</v>
      </c>
      <c r="B44" s="5">
        <v>1017547567</v>
      </c>
      <c r="C44" s="1">
        <v>99.68</v>
      </c>
      <c r="D44" s="1">
        <v>1092.1600000000001</v>
      </c>
      <c r="E44" s="1">
        <v>1090.1099999999999</v>
      </c>
      <c r="F44" s="1">
        <v>104.14</v>
      </c>
      <c r="G44" s="1">
        <v>97.39</v>
      </c>
      <c r="H44" s="1">
        <v>20800</v>
      </c>
      <c r="I44" s="1">
        <v>1316439.33</v>
      </c>
      <c r="J44" s="1">
        <v>1103145.28</v>
      </c>
      <c r="K44" s="1">
        <v>99.7</v>
      </c>
      <c r="L44" s="1">
        <v>1.044546159</v>
      </c>
      <c r="M44" s="1">
        <v>1073771.95</v>
      </c>
      <c r="N44" s="1">
        <v>1359947.48</v>
      </c>
      <c r="O44" s="1">
        <v>656875.66</v>
      </c>
      <c r="P44" s="1">
        <v>102.99</v>
      </c>
      <c r="Q44" s="1">
        <v>879843.77</v>
      </c>
      <c r="R44" s="1">
        <v>3562.69</v>
      </c>
      <c r="S44" s="14">
        <f t="shared" si="2"/>
        <v>965265834.70663595</v>
      </c>
      <c r="T44" s="14">
        <f t="shared" si="3"/>
        <v>52281732.293364048</v>
      </c>
      <c r="W44">
        <v>2.4305555555555549</v>
      </c>
      <c r="X44">
        <v>481736591.5</v>
      </c>
    </row>
    <row r="45" spans="1:39" x14ac:dyDescent="0.3">
      <c r="A45" s="7">
        <v>41852</v>
      </c>
      <c r="B45" s="5">
        <v>1027165762</v>
      </c>
      <c r="C45" s="1">
        <v>101.19</v>
      </c>
      <c r="D45" s="1">
        <v>1109.96</v>
      </c>
      <c r="E45" s="1">
        <v>1120.82</v>
      </c>
      <c r="F45" s="1">
        <v>103.94</v>
      </c>
      <c r="G45" s="1">
        <v>98.51</v>
      </c>
      <c r="H45" s="1">
        <v>21100</v>
      </c>
      <c r="I45" s="1">
        <v>1334413.83</v>
      </c>
      <c r="J45" s="1">
        <v>1017516.4</v>
      </c>
      <c r="K45" s="1">
        <v>100.3</v>
      </c>
      <c r="L45" s="1">
        <v>1.0556461029999999</v>
      </c>
      <c r="M45" s="1">
        <v>1029234.83</v>
      </c>
      <c r="N45" s="1">
        <v>1425240.83</v>
      </c>
      <c r="O45" s="1">
        <v>771997.61</v>
      </c>
      <c r="P45" s="1">
        <v>96.38</v>
      </c>
      <c r="Q45" s="1">
        <v>866300.87</v>
      </c>
      <c r="R45" s="1">
        <v>2824.51</v>
      </c>
      <c r="S45" s="14">
        <f t="shared" si="2"/>
        <v>1026091966.2998381</v>
      </c>
      <c r="T45" s="14">
        <f t="shared" si="3"/>
        <v>1073795.7001619339</v>
      </c>
      <c r="W45">
        <v>3.125</v>
      </c>
      <c r="X45">
        <v>484694267.89999998</v>
      </c>
    </row>
    <row r="46" spans="1:39" x14ac:dyDescent="0.3">
      <c r="A46" s="7">
        <v>41883</v>
      </c>
      <c r="B46" s="5">
        <v>1031279058</v>
      </c>
      <c r="C46" s="1">
        <v>100.44</v>
      </c>
      <c r="D46" s="1">
        <v>1109.6400000000001</v>
      </c>
      <c r="E46" s="1">
        <v>1033.18</v>
      </c>
      <c r="F46" s="1">
        <v>102.42</v>
      </c>
      <c r="G46" s="1">
        <v>98.17</v>
      </c>
      <c r="H46" s="1">
        <v>23000</v>
      </c>
      <c r="I46" s="1">
        <v>1299462.54</v>
      </c>
      <c r="J46" s="1">
        <v>991679.25</v>
      </c>
      <c r="K46" s="1">
        <v>100.08</v>
      </c>
      <c r="L46" s="1">
        <v>1.0556461029999999</v>
      </c>
      <c r="M46" s="1">
        <v>953690.54</v>
      </c>
      <c r="N46" s="1">
        <v>1539909.69</v>
      </c>
      <c r="O46" s="1">
        <v>876480.43</v>
      </c>
      <c r="P46" s="1">
        <v>93.35</v>
      </c>
      <c r="Q46" s="1">
        <v>720110</v>
      </c>
      <c r="R46" s="1">
        <v>3058.18</v>
      </c>
      <c r="S46" s="14">
        <f t="shared" si="2"/>
        <v>1018764142.6110811</v>
      </c>
      <c r="T46" s="14">
        <f t="shared" si="3"/>
        <v>12514915.388918877</v>
      </c>
      <c r="W46">
        <v>3.8194444444444451</v>
      </c>
      <c r="X46">
        <v>494560586.5</v>
      </c>
    </row>
    <row r="47" spans="1:39" x14ac:dyDescent="0.3">
      <c r="A47" s="7">
        <v>41913</v>
      </c>
      <c r="B47" s="5">
        <v>994093092.79999995</v>
      </c>
      <c r="C47" s="1">
        <v>102.42</v>
      </c>
      <c r="D47" s="1">
        <v>1021.01</v>
      </c>
      <c r="E47" s="1">
        <v>962.72</v>
      </c>
      <c r="F47" s="1">
        <v>105.34</v>
      </c>
      <c r="G47" s="1">
        <v>98.51</v>
      </c>
      <c r="H47" s="1">
        <v>24000</v>
      </c>
      <c r="I47" s="1">
        <v>1281016.1000000001</v>
      </c>
      <c r="J47" s="1">
        <v>954490.58</v>
      </c>
      <c r="K47" s="1">
        <v>100.29</v>
      </c>
      <c r="L47" s="1">
        <v>1.0556461029999999</v>
      </c>
      <c r="M47" s="1">
        <v>892543.17</v>
      </c>
      <c r="N47" s="1">
        <v>1355813.39</v>
      </c>
      <c r="O47" s="1">
        <v>650101.77</v>
      </c>
      <c r="P47" s="1">
        <v>84.4</v>
      </c>
      <c r="Q47" s="1">
        <v>799002.69</v>
      </c>
      <c r="R47" s="1">
        <v>3059.57</v>
      </c>
      <c r="S47" s="14">
        <f t="shared" si="2"/>
        <v>970155431.17363453</v>
      </c>
      <c r="T47" s="14">
        <f t="shared" si="3"/>
        <v>23937661.626365423</v>
      </c>
      <c r="W47">
        <v>4.5138888888888884</v>
      </c>
      <c r="X47">
        <v>520844989.30000001</v>
      </c>
    </row>
    <row r="48" spans="1:39" x14ac:dyDescent="0.3">
      <c r="A48" s="7">
        <v>41944</v>
      </c>
      <c r="B48" s="5">
        <v>932364953.10000002</v>
      </c>
      <c r="C48" s="1">
        <v>101.18</v>
      </c>
      <c r="D48" s="1">
        <v>1045.46</v>
      </c>
      <c r="E48" s="1">
        <v>1031.7</v>
      </c>
      <c r="F48" s="1">
        <v>101.23</v>
      </c>
      <c r="G48" s="1">
        <v>98.85</v>
      </c>
      <c r="H48" s="1">
        <v>23500</v>
      </c>
      <c r="I48" s="1">
        <v>1275588.49</v>
      </c>
      <c r="J48" s="1">
        <v>908841.28</v>
      </c>
      <c r="K48" s="1">
        <v>100.87</v>
      </c>
      <c r="L48" s="1">
        <v>0.98766042499999995</v>
      </c>
      <c r="M48" s="1">
        <v>1076259.77</v>
      </c>
      <c r="N48" s="1">
        <v>1738770.47</v>
      </c>
      <c r="O48" s="1">
        <v>916316.85</v>
      </c>
      <c r="P48" s="1">
        <v>75.7</v>
      </c>
      <c r="Q48" s="1">
        <v>823834.31</v>
      </c>
      <c r="R48" s="1">
        <v>3145.52</v>
      </c>
      <c r="S48" s="14">
        <f t="shared" si="2"/>
        <v>973200843.52074718</v>
      </c>
      <c r="T48" s="14">
        <f t="shared" si="3"/>
        <v>-40835890.420747161</v>
      </c>
      <c r="W48">
        <v>5.208333333333333</v>
      </c>
      <c r="X48">
        <v>521655176</v>
      </c>
    </row>
    <row r="49" spans="1:24" x14ac:dyDescent="0.3">
      <c r="A49" s="7">
        <v>41974</v>
      </c>
      <c r="B49" s="5">
        <v>992656608.70000005</v>
      </c>
      <c r="C49" s="1">
        <v>100.08</v>
      </c>
      <c r="D49" s="1">
        <v>1033.24</v>
      </c>
      <c r="E49" s="1">
        <v>1098.48</v>
      </c>
      <c r="F49" s="1">
        <v>104.94</v>
      </c>
      <c r="G49" s="1">
        <v>99.97</v>
      </c>
      <c r="H49" s="1">
        <v>25800</v>
      </c>
      <c r="I49" s="1">
        <v>1312240.78</v>
      </c>
      <c r="J49" s="1">
        <v>890294.64</v>
      </c>
      <c r="K49" s="1">
        <v>100.02</v>
      </c>
      <c r="L49" s="1">
        <v>0.98766042499999995</v>
      </c>
      <c r="M49" s="1">
        <v>1101162.29</v>
      </c>
      <c r="N49" s="1">
        <v>1453047.42</v>
      </c>
      <c r="O49" s="1">
        <v>684476.7</v>
      </c>
      <c r="P49" s="1">
        <v>59.1</v>
      </c>
      <c r="Q49" s="1">
        <v>843807.97</v>
      </c>
      <c r="R49" s="1">
        <v>2993.84</v>
      </c>
      <c r="S49" s="14">
        <f t="shared" si="2"/>
        <v>950150535.85525036</v>
      </c>
      <c r="T49" s="14">
        <f t="shared" si="3"/>
        <v>42506072.844749689</v>
      </c>
      <c r="W49">
        <v>5.9027777777777777</v>
      </c>
      <c r="X49">
        <v>521870479.60000002</v>
      </c>
    </row>
    <row r="50" spans="1:24" x14ac:dyDescent="0.3">
      <c r="A50" s="7">
        <v>42005</v>
      </c>
      <c r="B50" s="5">
        <v>930726495.20000005</v>
      </c>
      <c r="C50" s="1">
        <v>100.13</v>
      </c>
      <c r="D50" s="1">
        <v>1060.6600000000001</v>
      </c>
      <c r="E50" s="1">
        <v>1054.1300000000001</v>
      </c>
      <c r="F50" s="1">
        <v>102.39</v>
      </c>
      <c r="G50" s="1">
        <v>99.41</v>
      </c>
      <c r="H50" s="1">
        <v>24500</v>
      </c>
      <c r="I50" s="1">
        <v>1321078.57</v>
      </c>
      <c r="J50" s="1">
        <v>909250.55</v>
      </c>
      <c r="K50" s="1">
        <v>99.77</v>
      </c>
      <c r="L50" s="1">
        <v>0.98766042499999995</v>
      </c>
      <c r="M50" s="1">
        <v>1242759.99</v>
      </c>
      <c r="N50" s="1">
        <v>1695604.79</v>
      </c>
      <c r="O50" s="1">
        <v>1114372.78</v>
      </c>
      <c r="P50" s="1">
        <v>47.6</v>
      </c>
      <c r="Q50" s="1">
        <v>886120.7</v>
      </c>
      <c r="R50" s="1">
        <v>2975.34</v>
      </c>
      <c r="S50" s="14">
        <f t="shared" si="2"/>
        <v>1045023296.9527225</v>
      </c>
      <c r="T50" s="14">
        <f t="shared" si="3"/>
        <v>-114296801.7527225</v>
      </c>
      <c r="W50">
        <v>6.5972222222222223</v>
      </c>
      <c r="X50">
        <v>526166118</v>
      </c>
    </row>
    <row r="51" spans="1:24" x14ac:dyDescent="0.3">
      <c r="A51" s="7">
        <v>42036</v>
      </c>
      <c r="B51" s="5">
        <v>869749540.60000002</v>
      </c>
      <c r="C51" s="1">
        <v>102.43</v>
      </c>
      <c r="D51" s="1">
        <v>1077.45</v>
      </c>
      <c r="E51" s="1">
        <v>1071.49</v>
      </c>
      <c r="F51" s="1">
        <v>85.39</v>
      </c>
      <c r="G51" s="1">
        <v>99.3</v>
      </c>
      <c r="H51" s="1">
        <v>23000</v>
      </c>
      <c r="I51" s="1">
        <v>982456.43</v>
      </c>
      <c r="J51" s="1">
        <v>753954.81</v>
      </c>
      <c r="K51" s="1">
        <v>98.97</v>
      </c>
      <c r="L51" s="1">
        <v>0.91214731299999996</v>
      </c>
      <c r="M51" s="1">
        <v>957180.14</v>
      </c>
      <c r="N51" s="1">
        <v>1089401.76</v>
      </c>
      <c r="O51" s="1">
        <v>634209.29</v>
      </c>
      <c r="P51" s="1">
        <v>50.72</v>
      </c>
      <c r="Q51" s="1">
        <v>660663.68999999994</v>
      </c>
      <c r="R51" s="1">
        <v>2272.6</v>
      </c>
      <c r="S51" s="14">
        <f t="shared" si="2"/>
        <v>929983111.77907944</v>
      </c>
      <c r="T51" s="14">
        <f t="shared" si="3"/>
        <v>-60233571.179079413</v>
      </c>
      <c r="W51">
        <v>7.291666666666667</v>
      </c>
      <c r="X51">
        <v>530164083.30000001</v>
      </c>
    </row>
    <row r="52" spans="1:24" x14ac:dyDescent="0.3">
      <c r="A52" s="7">
        <v>42064</v>
      </c>
      <c r="B52" s="5">
        <v>908891613.29999995</v>
      </c>
      <c r="C52" s="1">
        <v>100.95</v>
      </c>
      <c r="D52" s="1">
        <v>1049.26</v>
      </c>
      <c r="E52" s="1">
        <v>854.5</v>
      </c>
      <c r="F52" s="1">
        <v>104.91</v>
      </c>
      <c r="G52" s="1">
        <v>99.18</v>
      </c>
      <c r="H52" s="1">
        <v>22700</v>
      </c>
      <c r="I52" s="1">
        <v>1308604.92</v>
      </c>
      <c r="J52" s="1">
        <v>975456.38</v>
      </c>
      <c r="K52" s="1">
        <v>99.49</v>
      </c>
      <c r="L52" s="1">
        <v>0.91214731299999996</v>
      </c>
      <c r="M52" s="1">
        <v>1351799.14</v>
      </c>
      <c r="N52" s="1">
        <v>1463367.23</v>
      </c>
      <c r="O52" s="1">
        <v>868749.91</v>
      </c>
      <c r="P52" s="1">
        <v>47.78</v>
      </c>
      <c r="Q52" s="1">
        <v>1005533.65</v>
      </c>
      <c r="R52" s="1">
        <v>3035.68</v>
      </c>
      <c r="S52" s="14">
        <f t="shared" si="2"/>
        <v>1000579972.2830987</v>
      </c>
      <c r="T52" s="14">
        <f t="shared" si="3"/>
        <v>-91688358.983098745</v>
      </c>
      <c r="W52">
        <v>7.9861111111111107</v>
      </c>
      <c r="X52">
        <v>530635299.39999998</v>
      </c>
    </row>
    <row r="53" spans="1:24" x14ac:dyDescent="0.3">
      <c r="A53" s="7">
        <v>42095</v>
      </c>
      <c r="B53" s="5">
        <v>872724221</v>
      </c>
      <c r="C53" s="1">
        <v>100.52</v>
      </c>
      <c r="D53" s="1">
        <v>960.31</v>
      </c>
      <c r="E53" s="1">
        <v>742.78</v>
      </c>
      <c r="F53" s="1">
        <v>99.52</v>
      </c>
      <c r="G53" s="1">
        <v>99.75</v>
      </c>
      <c r="H53" s="1">
        <v>22400</v>
      </c>
      <c r="I53" s="1">
        <v>1255975.77</v>
      </c>
      <c r="J53" s="1">
        <v>948719.21</v>
      </c>
      <c r="K53" s="1">
        <v>99.47</v>
      </c>
      <c r="L53" s="1">
        <v>0.91214731299999996</v>
      </c>
      <c r="M53" s="1">
        <v>1058926.4099999999</v>
      </c>
      <c r="N53" s="1">
        <v>1375826.29</v>
      </c>
      <c r="O53" s="1">
        <v>734605.14</v>
      </c>
      <c r="P53" s="1">
        <v>54.2</v>
      </c>
      <c r="Q53" s="1">
        <v>880600.83</v>
      </c>
      <c r="R53" s="1">
        <v>2862.86</v>
      </c>
      <c r="S53" s="14">
        <f t="shared" si="2"/>
        <v>852807535.78176546</v>
      </c>
      <c r="T53" s="14">
        <f t="shared" si="3"/>
        <v>19916685.218234539</v>
      </c>
      <c r="W53">
        <v>8.6805555555555536</v>
      </c>
      <c r="X53">
        <v>644837026</v>
      </c>
    </row>
    <row r="54" spans="1:24" x14ac:dyDescent="0.3">
      <c r="A54" s="7">
        <v>42125</v>
      </c>
      <c r="B54" s="5">
        <v>922912817</v>
      </c>
      <c r="C54" s="1">
        <v>100.22</v>
      </c>
      <c r="D54" s="1">
        <v>890.42</v>
      </c>
      <c r="E54" s="1">
        <v>757.66</v>
      </c>
      <c r="F54" s="1">
        <v>100.37</v>
      </c>
      <c r="G54" s="1">
        <v>100.31</v>
      </c>
      <c r="H54" s="1">
        <v>24200</v>
      </c>
      <c r="I54" s="1">
        <v>1330623.22</v>
      </c>
      <c r="J54" s="1">
        <v>956005.04</v>
      </c>
      <c r="K54" s="1">
        <v>100.01</v>
      </c>
      <c r="L54" s="1">
        <v>1.044546159</v>
      </c>
      <c r="M54" s="1">
        <v>1098023.28</v>
      </c>
      <c r="N54" s="1">
        <v>1385062.76</v>
      </c>
      <c r="O54" s="1">
        <v>778163.91</v>
      </c>
      <c r="P54" s="1">
        <v>59.26</v>
      </c>
      <c r="Q54" s="1">
        <v>944694.87</v>
      </c>
      <c r="R54" s="1">
        <v>3012.49</v>
      </c>
      <c r="S54" s="14">
        <f t="shared" si="2"/>
        <v>869660185.78455687</v>
      </c>
      <c r="T54" s="14">
        <f t="shared" si="3"/>
        <v>53252631.215443134</v>
      </c>
      <c r="W54">
        <v>9.3749999999999982</v>
      </c>
      <c r="X54">
        <v>672472987.39999998</v>
      </c>
    </row>
    <row r="55" spans="1:24" x14ac:dyDescent="0.3">
      <c r="A55" s="7">
        <v>42156</v>
      </c>
      <c r="B55" s="5">
        <v>913545656.20000005</v>
      </c>
      <c r="C55" s="1">
        <v>99.64</v>
      </c>
      <c r="D55" s="1">
        <v>838.69</v>
      </c>
      <c r="E55" s="1">
        <v>602.36</v>
      </c>
      <c r="F55" s="1">
        <v>100.44</v>
      </c>
      <c r="G55" s="1">
        <v>100.08</v>
      </c>
      <c r="H55" s="1">
        <v>24300</v>
      </c>
      <c r="I55" s="1">
        <v>1213175.8600000001</v>
      </c>
      <c r="J55" s="1">
        <v>992495.1</v>
      </c>
      <c r="K55" s="1">
        <v>99.91</v>
      </c>
      <c r="L55" s="1">
        <v>1.044546159</v>
      </c>
      <c r="M55" s="1">
        <v>1027716.45</v>
      </c>
      <c r="N55" s="1">
        <v>1332031.8600000001</v>
      </c>
      <c r="O55" s="1">
        <v>785748.54</v>
      </c>
      <c r="P55" s="1">
        <v>59.8</v>
      </c>
      <c r="Q55" s="1">
        <v>816137.03</v>
      </c>
      <c r="R55" s="1">
        <v>3641.52</v>
      </c>
      <c r="S55" s="14">
        <f t="shared" si="2"/>
        <v>785767098.83392239</v>
      </c>
      <c r="T55" s="14">
        <f t="shared" si="3"/>
        <v>127778557.36607766</v>
      </c>
      <c r="W55">
        <v>10.069444444444439</v>
      </c>
      <c r="X55">
        <v>679662896</v>
      </c>
    </row>
    <row r="56" spans="1:24" x14ac:dyDescent="0.3">
      <c r="A56" s="7">
        <v>42186</v>
      </c>
      <c r="B56" s="5">
        <v>837831860.39999998</v>
      </c>
      <c r="C56" s="1">
        <v>100.26</v>
      </c>
      <c r="D56" s="1">
        <v>818.85</v>
      </c>
      <c r="E56" s="1">
        <v>666.02</v>
      </c>
      <c r="F56" s="1">
        <v>101.16</v>
      </c>
      <c r="G56" s="1">
        <v>100.76</v>
      </c>
      <c r="H56" s="1">
        <v>24300</v>
      </c>
      <c r="I56" s="1">
        <v>1310276.46</v>
      </c>
      <c r="J56" s="1">
        <v>858554.52</v>
      </c>
      <c r="K56" s="1">
        <v>100.47</v>
      </c>
      <c r="L56" s="1">
        <v>1.044546159</v>
      </c>
      <c r="M56" s="1">
        <v>978823.45</v>
      </c>
      <c r="N56" s="1">
        <v>1193246.52</v>
      </c>
      <c r="O56" s="1">
        <v>645415.46</v>
      </c>
      <c r="P56" s="1">
        <v>51.16</v>
      </c>
      <c r="Q56" s="1">
        <v>830356.86</v>
      </c>
      <c r="R56" s="1">
        <v>3958.05</v>
      </c>
      <c r="S56" s="14">
        <f t="shared" si="2"/>
        <v>840003055.03102446</v>
      </c>
      <c r="T56" s="14">
        <f t="shared" si="3"/>
        <v>-2171194.6310244799</v>
      </c>
      <c r="W56">
        <v>10.763888888888889</v>
      </c>
      <c r="X56">
        <v>680116237.5</v>
      </c>
    </row>
    <row r="57" spans="1:24" x14ac:dyDescent="0.3">
      <c r="A57" s="7">
        <v>42217</v>
      </c>
      <c r="B57" s="5">
        <v>856752647.70000005</v>
      </c>
      <c r="C57" s="1">
        <v>99.36</v>
      </c>
      <c r="D57" s="1">
        <v>826.44</v>
      </c>
      <c r="E57" s="1">
        <v>717.99</v>
      </c>
      <c r="F57" s="1">
        <v>96.97</v>
      </c>
      <c r="G57" s="1">
        <v>100.2</v>
      </c>
      <c r="H57" s="1">
        <v>24900</v>
      </c>
      <c r="I57" s="1">
        <v>1294612.8600000001</v>
      </c>
      <c r="J57" s="1">
        <v>1145996.3899999999</v>
      </c>
      <c r="K57" s="1">
        <v>100.4</v>
      </c>
      <c r="L57" s="1">
        <v>1.0556461029999999</v>
      </c>
      <c r="M57" s="1">
        <v>1014101.94</v>
      </c>
      <c r="N57" s="1">
        <v>1190063.25</v>
      </c>
      <c r="O57" s="1">
        <v>844473.97</v>
      </c>
      <c r="P57" s="1">
        <v>42.86</v>
      </c>
      <c r="Q57" s="1">
        <v>848526.28</v>
      </c>
      <c r="R57" s="1">
        <v>3396.57</v>
      </c>
      <c r="S57" s="14">
        <f t="shared" si="2"/>
        <v>809293084.09547043</v>
      </c>
      <c r="T57" s="14">
        <f t="shared" si="3"/>
        <v>47459563.604529619</v>
      </c>
      <c r="W57">
        <v>11.45833333333333</v>
      </c>
      <c r="X57">
        <v>689942417.10000002</v>
      </c>
    </row>
    <row r="58" spans="1:24" x14ac:dyDescent="0.3">
      <c r="A58" s="7">
        <v>42248</v>
      </c>
      <c r="B58" s="5">
        <v>797657575.5</v>
      </c>
      <c r="C58" s="1">
        <v>98.81</v>
      </c>
      <c r="D58" s="1">
        <v>820.39</v>
      </c>
      <c r="E58" s="1">
        <v>647.92999999999995</v>
      </c>
      <c r="F58" s="1">
        <v>96.57</v>
      </c>
      <c r="G58" s="1">
        <v>100.31</v>
      </c>
      <c r="H58" s="1">
        <v>25300</v>
      </c>
      <c r="I58" s="1">
        <v>1199984.07</v>
      </c>
      <c r="J58" s="1">
        <v>873125.57</v>
      </c>
      <c r="K58" s="1">
        <v>100.27</v>
      </c>
      <c r="L58" s="1">
        <v>1.0556461029999999</v>
      </c>
      <c r="M58" s="1">
        <v>948763.81</v>
      </c>
      <c r="N58" s="1">
        <v>985182.64</v>
      </c>
      <c r="O58" s="1">
        <v>955769.65</v>
      </c>
      <c r="P58" s="1">
        <v>45.48</v>
      </c>
      <c r="Q58" s="1">
        <v>806177.93</v>
      </c>
      <c r="R58" s="1">
        <v>2863.01</v>
      </c>
      <c r="S58" s="14">
        <f t="shared" si="2"/>
        <v>796091934.43665409</v>
      </c>
      <c r="T58" s="14">
        <f t="shared" si="3"/>
        <v>1565641.0633459091</v>
      </c>
      <c r="W58">
        <v>12.15277777777778</v>
      </c>
      <c r="X58">
        <v>721740438.60000002</v>
      </c>
    </row>
    <row r="59" spans="1:24" x14ac:dyDescent="0.3">
      <c r="A59" s="7">
        <v>42278</v>
      </c>
      <c r="B59" s="5">
        <v>766819965.20000005</v>
      </c>
      <c r="C59" s="1">
        <v>99.51</v>
      </c>
      <c r="D59" s="1">
        <v>764.84</v>
      </c>
      <c r="E59" s="1">
        <v>552.92999999999995</v>
      </c>
      <c r="F59" s="1">
        <v>97.93</v>
      </c>
      <c r="G59" s="1">
        <v>100.08</v>
      </c>
      <c r="H59" s="1">
        <v>28300</v>
      </c>
      <c r="I59" s="1">
        <v>1195229.3700000001</v>
      </c>
      <c r="J59" s="1">
        <v>875156.11</v>
      </c>
      <c r="K59" s="1">
        <v>99.81</v>
      </c>
      <c r="L59" s="1">
        <v>1.0556461029999999</v>
      </c>
      <c r="M59" s="1">
        <v>1110350.6399999999</v>
      </c>
      <c r="N59" s="1">
        <v>961160.51</v>
      </c>
      <c r="O59" s="1">
        <v>854743.19</v>
      </c>
      <c r="P59" s="1">
        <v>46.2</v>
      </c>
      <c r="Q59" s="1">
        <v>959908.95</v>
      </c>
      <c r="R59" s="1">
        <v>2972.79</v>
      </c>
      <c r="S59" s="14">
        <f t="shared" si="2"/>
        <v>758264489.20192528</v>
      </c>
      <c r="T59" s="14">
        <f t="shared" si="3"/>
        <v>8555475.99807477</v>
      </c>
      <c r="W59">
        <v>12.84722222222222</v>
      </c>
      <c r="X59">
        <v>738471168.70000005</v>
      </c>
    </row>
    <row r="60" spans="1:24" x14ac:dyDescent="0.3">
      <c r="A60" s="7">
        <v>42309</v>
      </c>
      <c r="B60" s="5">
        <v>789902871.79999995</v>
      </c>
      <c r="C60" s="1">
        <v>98.91</v>
      </c>
      <c r="D60" s="1">
        <v>756.59</v>
      </c>
      <c r="E60" s="1">
        <v>539.78</v>
      </c>
      <c r="F60" s="1">
        <v>93.4</v>
      </c>
      <c r="G60" s="1">
        <v>99.3</v>
      </c>
      <c r="H60" s="1">
        <v>27900</v>
      </c>
      <c r="I60" s="1">
        <v>1141608.1599999999</v>
      </c>
      <c r="J60" s="1">
        <v>940493.37</v>
      </c>
      <c r="K60" s="1">
        <v>100.03</v>
      </c>
      <c r="L60" s="1">
        <v>0.98766042499999995</v>
      </c>
      <c r="M60" s="1">
        <v>1032685.51</v>
      </c>
      <c r="N60" s="1">
        <v>938649</v>
      </c>
      <c r="O60" s="1">
        <v>928095.3</v>
      </c>
      <c r="P60" s="1">
        <v>42.65</v>
      </c>
      <c r="Q60" s="1">
        <v>864287.97</v>
      </c>
      <c r="R60" s="1">
        <v>3283.18</v>
      </c>
      <c r="S60" s="14">
        <f t="shared" si="2"/>
        <v>700300735.77292299</v>
      </c>
      <c r="T60" s="14">
        <f t="shared" si="3"/>
        <v>89602136.02707696</v>
      </c>
      <c r="W60">
        <v>13.54166666666667</v>
      </c>
      <c r="X60">
        <v>741903290.29999995</v>
      </c>
    </row>
    <row r="61" spans="1:24" x14ac:dyDescent="0.3">
      <c r="A61" s="7">
        <v>42339</v>
      </c>
      <c r="B61" s="5">
        <v>741903290.29999995</v>
      </c>
      <c r="C61" s="1">
        <v>99.25</v>
      </c>
      <c r="D61" s="1">
        <v>717.5</v>
      </c>
      <c r="E61" s="1">
        <v>491.39</v>
      </c>
      <c r="F61" s="1">
        <v>97.38</v>
      </c>
      <c r="G61" s="1">
        <v>101.32</v>
      </c>
      <c r="H61" s="1">
        <v>28600</v>
      </c>
      <c r="I61" s="1">
        <v>1242261.77</v>
      </c>
      <c r="J61" s="1">
        <v>879873.24</v>
      </c>
      <c r="K61" s="1">
        <v>100.38</v>
      </c>
      <c r="L61" s="1">
        <v>0.98766042499999995</v>
      </c>
      <c r="M61" s="1">
        <v>985444.56</v>
      </c>
      <c r="N61" s="1">
        <v>970356.91</v>
      </c>
      <c r="O61" s="1">
        <v>1020477.22</v>
      </c>
      <c r="P61" s="1">
        <v>37.24</v>
      </c>
      <c r="Q61" s="1">
        <v>860630.25</v>
      </c>
      <c r="R61" s="1">
        <v>2942.67</v>
      </c>
      <c r="S61" s="14">
        <f t="shared" si="2"/>
        <v>694553271.26410627</v>
      </c>
      <c r="T61" s="14">
        <f t="shared" si="3"/>
        <v>47350019.035893679</v>
      </c>
      <c r="W61">
        <v>14.236111111111111</v>
      </c>
      <c r="X61">
        <v>750613765.39999998</v>
      </c>
    </row>
    <row r="62" spans="1:24" x14ac:dyDescent="0.3">
      <c r="A62" s="7">
        <v>42370</v>
      </c>
      <c r="B62" s="5">
        <v>738471168.70000005</v>
      </c>
      <c r="C62" s="1">
        <v>99.33</v>
      </c>
      <c r="D62" s="1">
        <v>770.86</v>
      </c>
      <c r="E62" s="1">
        <v>680.22</v>
      </c>
      <c r="F62" s="1">
        <v>93.36</v>
      </c>
      <c r="G62" s="1">
        <v>100.87</v>
      </c>
      <c r="H62" s="1">
        <v>27000</v>
      </c>
      <c r="I62" s="1">
        <v>1218958.8999999999</v>
      </c>
      <c r="J62" s="1">
        <v>1081851.33</v>
      </c>
      <c r="K62" s="1">
        <v>99.98</v>
      </c>
      <c r="L62" s="1">
        <v>0.98766042499999995</v>
      </c>
      <c r="M62" s="1">
        <v>1108009.1499999999</v>
      </c>
      <c r="N62" s="1">
        <v>1148478.3600000001</v>
      </c>
      <c r="O62" s="1">
        <v>909568.48</v>
      </c>
      <c r="P62" s="1">
        <v>31.7</v>
      </c>
      <c r="Q62" s="1">
        <v>831796.6</v>
      </c>
      <c r="R62" s="1">
        <v>3279.96</v>
      </c>
      <c r="S62" s="14">
        <f t="shared" si="2"/>
        <v>714328281.37457228</v>
      </c>
      <c r="T62" s="14">
        <f t="shared" si="3"/>
        <v>24142887.325427771</v>
      </c>
      <c r="W62">
        <v>14.93055555555555</v>
      </c>
      <c r="X62">
        <v>751231030.10000002</v>
      </c>
    </row>
    <row r="63" spans="1:24" x14ac:dyDescent="0.3">
      <c r="A63" s="7">
        <v>42401</v>
      </c>
      <c r="B63" s="5">
        <v>680116237.5</v>
      </c>
      <c r="C63" s="1">
        <v>101</v>
      </c>
      <c r="D63" s="1">
        <v>767.39</v>
      </c>
      <c r="E63" s="1">
        <v>506.76</v>
      </c>
      <c r="F63" s="1">
        <v>78.78</v>
      </c>
      <c r="G63" s="1">
        <v>101.1</v>
      </c>
      <c r="H63" s="1">
        <v>25400</v>
      </c>
      <c r="I63" s="1">
        <v>1093500.01</v>
      </c>
      <c r="J63" s="1">
        <v>739183.18</v>
      </c>
      <c r="K63" s="1">
        <v>100.82</v>
      </c>
      <c r="L63" s="1">
        <v>0.91214731299999996</v>
      </c>
      <c r="M63" s="1">
        <v>905513.06</v>
      </c>
      <c r="N63" s="1">
        <v>1040543.74</v>
      </c>
      <c r="O63" s="1">
        <v>546257.43999999994</v>
      </c>
      <c r="P63" s="1">
        <v>30.35</v>
      </c>
      <c r="Q63" s="1">
        <v>731430.72</v>
      </c>
      <c r="R63" s="1">
        <v>2175.7600000000002</v>
      </c>
      <c r="S63" s="14">
        <f t="shared" si="2"/>
        <v>666873105.28415012</v>
      </c>
      <c r="T63" s="14">
        <f t="shared" si="3"/>
        <v>13243132.215849876</v>
      </c>
      <c r="W63">
        <v>15.625</v>
      </c>
      <c r="X63">
        <v>761347210.5</v>
      </c>
    </row>
    <row r="64" spans="1:24" x14ac:dyDescent="0.3">
      <c r="A64" s="7">
        <v>42430</v>
      </c>
      <c r="B64" s="5">
        <v>672472987.39999998</v>
      </c>
      <c r="C64" s="1">
        <v>98.78</v>
      </c>
      <c r="D64" s="1">
        <v>687.86</v>
      </c>
      <c r="E64" s="1">
        <v>411.33</v>
      </c>
      <c r="F64" s="1">
        <v>100.24</v>
      </c>
      <c r="G64" s="1">
        <v>100.65</v>
      </c>
      <c r="H64" s="1">
        <v>25100</v>
      </c>
      <c r="I64" s="1">
        <v>1381546.87</v>
      </c>
      <c r="J64" s="1">
        <v>980495.48</v>
      </c>
      <c r="K64" s="1">
        <v>100.18</v>
      </c>
      <c r="L64" s="1">
        <v>0.91214731299999996</v>
      </c>
      <c r="M64" s="1">
        <v>1189364.94</v>
      </c>
      <c r="N64" s="1">
        <v>1324603.69</v>
      </c>
      <c r="O64" s="1">
        <v>1025765.22</v>
      </c>
      <c r="P64" s="1">
        <v>37.770000000000003</v>
      </c>
      <c r="Q64" s="1">
        <v>983902.82</v>
      </c>
      <c r="R64" s="1">
        <v>3008.53</v>
      </c>
      <c r="S64" s="14">
        <f t="shared" si="2"/>
        <v>628208753.91497135</v>
      </c>
      <c r="T64" s="14">
        <f t="shared" si="3"/>
        <v>44264233.485028625</v>
      </c>
      <c r="W64">
        <v>16.319444444444439</v>
      </c>
      <c r="X64">
        <v>766819965.20000005</v>
      </c>
    </row>
    <row r="65" spans="1:24" x14ac:dyDescent="0.3">
      <c r="A65" s="7">
        <v>42461</v>
      </c>
      <c r="B65" s="5">
        <v>679662896</v>
      </c>
      <c r="C65" s="1">
        <v>100.61</v>
      </c>
      <c r="D65" s="1">
        <v>640.27</v>
      </c>
      <c r="E65" s="1">
        <v>489.68</v>
      </c>
      <c r="F65" s="1">
        <v>93.92</v>
      </c>
      <c r="G65" s="1">
        <v>100.76</v>
      </c>
      <c r="H65" s="1">
        <v>24600</v>
      </c>
      <c r="I65" s="1">
        <v>1320561.3600000001</v>
      </c>
      <c r="J65" s="1">
        <v>901871.89</v>
      </c>
      <c r="K65" s="1">
        <v>100.33</v>
      </c>
      <c r="L65" s="1">
        <v>0.91214731299999996</v>
      </c>
      <c r="M65" s="1">
        <v>1118550.72</v>
      </c>
      <c r="N65" s="1">
        <v>1170848.48</v>
      </c>
      <c r="O65" s="1">
        <v>944773.11</v>
      </c>
      <c r="P65" s="1">
        <v>40.96</v>
      </c>
      <c r="Q65" s="1">
        <v>939214.17</v>
      </c>
      <c r="R65" s="1">
        <v>2887.76</v>
      </c>
      <c r="S65" s="14">
        <f t="shared" si="2"/>
        <v>584925224.0530777</v>
      </c>
      <c r="T65" s="14">
        <f t="shared" si="3"/>
        <v>94737671.946922302</v>
      </c>
      <c r="W65">
        <v>17.013888888888889</v>
      </c>
      <c r="X65">
        <v>767363227.39999998</v>
      </c>
    </row>
    <row r="66" spans="1:24" x14ac:dyDescent="0.3">
      <c r="A66" s="7">
        <v>42491</v>
      </c>
      <c r="B66" s="5">
        <v>784832284.39999998</v>
      </c>
      <c r="C66" s="1">
        <v>100.22</v>
      </c>
      <c r="D66" s="1">
        <v>656.72</v>
      </c>
      <c r="E66" s="1">
        <v>570.52</v>
      </c>
      <c r="F66" s="1">
        <v>100.43</v>
      </c>
      <c r="G66" s="1">
        <v>101.1</v>
      </c>
      <c r="H66" s="1">
        <v>26600</v>
      </c>
      <c r="I66" s="1">
        <v>1517482.49</v>
      </c>
      <c r="J66" s="1">
        <v>1075937.96</v>
      </c>
      <c r="K66" s="1">
        <v>100.41</v>
      </c>
      <c r="L66" s="1">
        <v>1.044546159</v>
      </c>
      <c r="M66" s="1">
        <v>1225948.93</v>
      </c>
      <c r="N66" s="1">
        <v>1531464.07</v>
      </c>
      <c r="O66" s="1">
        <v>1003492.64</v>
      </c>
      <c r="P66" s="1">
        <v>46.85</v>
      </c>
      <c r="Q66" s="1">
        <v>896659.38</v>
      </c>
      <c r="R66" s="1">
        <v>3679.37</v>
      </c>
      <c r="S66" s="14">
        <f t="shared" ref="S66:S97" si="4">$W$38+SUMPRODUCT($X$38:$AM$38,C66:R66)</f>
        <v>693086373.00320768</v>
      </c>
      <c r="T66" s="14">
        <f t="shared" ref="T66:T97" si="5">B66-S66</f>
        <v>91745911.396792293</v>
      </c>
      <c r="W66">
        <v>17.708333333333329</v>
      </c>
      <c r="X66">
        <v>769075582.10000002</v>
      </c>
    </row>
    <row r="67" spans="1:24" x14ac:dyDescent="0.3">
      <c r="A67" s="7">
        <v>42522</v>
      </c>
      <c r="B67" s="5">
        <v>750613765.39999998</v>
      </c>
      <c r="C67" s="1">
        <v>101.53</v>
      </c>
      <c r="D67" s="1">
        <v>657.56</v>
      </c>
      <c r="E67" s="1">
        <v>554.12</v>
      </c>
      <c r="F67" s="1">
        <v>102.05</v>
      </c>
      <c r="G67" s="1">
        <v>100.76</v>
      </c>
      <c r="H67" s="1">
        <v>26900</v>
      </c>
      <c r="I67" s="1">
        <v>1417206.18</v>
      </c>
      <c r="J67" s="1">
        <v>929397.65</v>
      </c>
      <c r="K67" s="1">
        <v>101.26</v>
      </c>
      <c r="L67" s="1">
        <v>1.044546159</v>
      </c>
      <c r="M67" s="1">
        <v>1027249.6</v>
      </c>
      <c r="N67" s="1">
        <v>1329259.71</v>
      </c>
      <c r="O67" s="1">
        <v>614000.05000000005</v>
      </c>
      <c r="P67" s="1">
        <v>48.75</v>
      </c>
      <c r="Q67" s="1">
        <v>884280.31</v>
      </c>
      <c r="R67" s="1">
        <v>3517.97</v>
      </c>
      <c r="S67" s="14">
        <f t="shared" si="4"/>
        <v>684748774.64149141</v>
      </c>
      <c r="T67" s="14">
        <f t="shared" si="5"/>
        <v>65864990.758508563</v>
      </c>
      <c r="W67">
        <v>18.402777777777779</v>
      </c>
      <c r="X67">
        <v>784832284.39999998</v>
      </c>
    </row>
    <row r="68" spans="1:24" x14ac:dyDescent="0.3">
      <c r="A68" s="7">
        <v>42552</v>
      </c>
      <c r="B68" s="5">
        <v>769075582.10000002</v>
      </c>
      <c r="C68" s="1">
        <v>101.44</v>
      </c>
      <c r="D68" s="1">
        <v>684.43</v>
      </c>
      <c r="E68" s="1">
        <v>677.7</v>
      </c>
      <c r="F68" s="1">
        <v>102.07</v>
      </c>
      <c r="G68" s="1">
        <v>101.66</v>
      </c>
      <c r="H68" s="1">
        <v>26800</v>
      </c>
      <c r="I68" s="1">
        <v>1325030.3500000001</v>
      </c>
      <c r="J68" s="1">
        <v>983740.13</v>
      </c>
      <c r="K68" s="1">
        <v>101.25</v>
      </c>
      <c r="L68" s="1">
        <v>1.044546159</v>
      </c>
      <c r="M68" s="1">
        <v>1099086.95</v>
      </c>
      <c r="N68" s="1">
        <v>1317343.32</v>
      </c>
      <c r="O68" s="1">
        <v>907878.43</v>
      </c>
      <c r="P68" s="1">
        <v>44.89</v>
      </c>
      <c r="Q68" s="1">
        <v>950514.3</v>
      </c>
      <c r="R68" s="1">
        <v>3815.23</v>
      </c>
      <c r="S68" s="14">
        <f t="shared" si="4"/>
        <v>728159944.08257866</v>
      </c>
      <c r="T68" s="14">
        <f t="shared" si="5"/>
        <v>40915638.017421365</v>
      </c>
      <c r="W68">
        <v>19.097222222222221</v>
      </c>
      <c r="X68">
        <v>789304203.20000005</v>
      </c>
    </row>
    <row r="69" spans="1:24" x14ac:dyDescent="0.3">
      <c r="A69" s="7">
        <v>42583</v>
      </c>
      <c r="B69" s="5">
        <v>789686892.39999998</v>
      </c>
      <c r="C69" s="1">
        <v>100.84</v>
      </c>
      <c r="D69" s="1">
        <v>704.04</v>
      </c>
      <c r="E69" s="1">
        <v>616.01</v>
      </c>
      <c r="F69" s="1">
        <v>105.48</v>
      </c>
      <c r="G69" s="1">
        <v>101.66</v>
      </c>
      <c r="H69" s="1">
        <v>27500</v>
      </c>
      <c r="I69" s="1">
        <v>1277710.99</v>
      </c>
      <c r="J69" s="1">
        <v>1094021.55</v>
      </c>
      <c r="K69" s="1">
        <v>101.08</v>
      </c>
      <c r="L69" s="1">
        <v>1.0556461029999999</v>
      </c>
      <c r="M69" s="1">
        <v>1093213.08</v>
      </c>
      <c r="N69" s="1">
        <v>1282848.02</v>
      </c>
      <c r="O69" s="1">
        <v>834367.43</v>
      </c>
      <c r="P69" s="1">
        <v>44.75</v>
      </c>
      <c r="Q69" s="1">
        <v>913072.04</v>
      </c>
      <c r="R69" s="1">
        <v>3573.87</v>
      </c>
      <c r="S69" s="14">
        <f t="shared" si="4"/>
        <v>697644587.44895983</v>
      </c>
      <c r="T69" s="14">
        <f t="shared" si="5"/>
        <v>92042304.951040149</v>
      </c>
      <c r="W69">
        <v>19.791666666666661</v>
      </c>
      <c r="X69">
        <v>789686892.39999998</v>
      </c>
    </row>
    <row r="70" spans="1:24" x14ac:dyDescent="0.3">
      <c r="A70" s="7">
        <v>42614</v>
      </c>
      <c r="B70" s="5">
        <v>805169805.89999998</v>
      </c>
      <c r="C70" s="1">
        <v>102.09</v>
      </c>
      <c r="D70" s="1">
        <v>711.55</v>
      </c>
      <c r="E70" s="1">
        <v>763.06</v>
      </c>
      <c r="F70" s="1">
        <v>104.43</v>
      </c>
      <c r="G70" s="1">
        <v>101.43</v>
      </c>
      <c r="H70" s="1">
        <v>28000</v>
      </c>
      <c r="I70" s="1">
        <v>1168901.47</v>
      </c>
      <c r="J70" s="1">
        <v>885542.44</v>
      </c>
      <c r="K70" s="1">
        <v>101.26</v>
      </c>
      <c r="L70" s="1">
        <v>1.0556461029999999</v>
      </c>
      <c r="M70" s="1">
        <v>778994.66</v>
      </c>
      <c r="N70" s="1">
        <v>944842.7</v>
      </c>
      <c r="O70" s="1">
        <v>871129.86</v>
      </c>
      <c r="P70" s="1">
        <v>45.17</v>
      </c>
      <c r="Q70" s="1">
        <v>765513.86</v>
      </c>
      <c r="R70" s="1">
        <v>3301.21</v>
      </c>
      <c r="S70" s="14">
        <f t="shared" si="4"/>
        <v>714637591.99539232</v>
      </c>
      <c r="T70" s="14">
        <f t="shared" si="5"/>
        <v>90532213.904607654</v>
      </c>
      <c r="W70">
        <v>20.486111111111111</v>
      </c>
      <c r="X70">
        <v>789902871.79999995</v>
      </c>
    </row>
    <row r="71" spans="1:24" x14ac:dyDescent="0.3">
      <c r="A71" s="7">
        <v>42644</v>
      </c>
      <c r="B71" s="5">
        <v>789304203.20000005</v>
      </c>
      <c r="C71" s="1">
        <v>102.24</v>
      </c>
      <c r="D71" s="1">
        <v>733.84</v>
      </c>
      <c r="E71" s="1">
        <v>786.05</v>
      </c>
      <c r="F71" s="1">
        <v>104.73</v>
      </c>
      <c r="G71" s="1">
        <v>103.01</v>
      </c>
      <c r="H71" s="1">
        <v>31100</v>
      </c>
      <c r="I71" s="1">
        <v>1545908.54</v>
      </c>
      <c r="J71" s="1">
        <v>1080206.4099999999</v>
      </c>
      <c r="K71" s="1">
        <v>101.41</v>
      </c>
      <c r="L71" s="1">
        <v>1.0556461029999999</v>
      </c>
      <c r="M71" s="1">
        <v>1222709.2</v>
      </c>
      <c r="N71" s="1">
        <v>1267913.98</v>
      </c>
      <c r="O71" s="1">
        <v>930097.6</v>
      </c>
      <c r="P71" s="1">
        <v>49.89</v>
      </c>
      <c r="Q71" s="1">
        <v>963996.9</v>
      </c>
      <c r="R71" s="1">
        <v>4310.38</v>
      </c>
      <c r="S71" s="14">
        <f t="shared" si="4"/>
        <v>851972151.23740864</v>
      </c>
      <c r="T71" s="14">
        <f t="shared" si="5"/>
        <v>-62667948.03740859</v>
      </c>
      <c r="W71">
        <v>21.18055555555555</v>
      </c>
      <c r="X71">
        <v>797657575.5</v>
      </c>
    </row>
    <row r="72" spans="1:24" x14ac:dyDescent="0.3">
      <c r="A72" s="7">
        <v>42675</v>
      </c>
      <c r="B72" s="5">
        <v>879431387.39999998</v>
      </c>
      <c r="C72" s="1">
        <v>103.89</v>
      </c>
      <c r="D72" s="1">
        <v>769.18</v>
      </c>
      <c r="E72" s="1">
        <v>819.56</v>
      </c>
      <c r="F72" s="1">
        <v>107.3</v>
      </c>
      <c r="G72" s="1">
        <v>101.77</v>
      </c>
      <c r="H72" s="1">
        <v>31000</v>
      </c>
      <c r="I72" s="1">
        <v>1365800.24</v>
      </c>
      <c r="J72" s="1">
        <v>970282.65</v>
      </c>
      <c r="K72" s="1">
        <v>100.96</v>
      </c>
      <c r="L72" s="1">
        <v>0.98766042499999995</v>
      </c>
      <c r="M72" s="1">
        <v>1190473.22</v>
      </c>
      <c r="N72" s="1">
        <v>1213133.1299999999</v>
      </c>
      <c r="O72" s="1">
        <v>709367.8</v>
      </c>
      <c r="P72" s="1">
        <v>45.62</v>
      </c>
      <c r="Q72" s="1">
        <v>916944.64</v>
      </c>
      <c r="R72" s="1">
        <v>3624.83</v>
      </c>
      <c r="S72" s="14">
        <f t="shared" si="4"/>
        <v>801684044.98687887</v>
      </c>
      <c r="T72" s="14">
        <f t="shared" si="5"/>
        <v>77747342.413121104</v>
      </c>
      <c r="W72">
        <v>21.875</v>
      </c>
      <c r="X72">
        <v>805169805.89999998</v>
      </c>
    </row>
    <row r="73" spans="1:24" x14ac:dyDescent="0.3">
      <c r="A73" s="7">
        <v>42705</v>
      </c>
      <c r="B73" s="5">
        <v>868808509.29999995</v>
      </c>
      <c r="C73" s="1">
        <v>105.29</v>
      </c>
      <c r="D73" s="1">
        <v>774.05</v>
      </c>
      <c r="E73" s="1">
        <v>824</v>
      </c>
      <c r="F73" s="1">
        <v>107.17</v>
      </c>
      <c r="G73" s="1">
        <v>102.56</v>
      </c>
      <c r="H73" s="1">
        <v>31800</v>
      </c>
      <c r="I73" s="1">
        <v>1403710.14</v>
      </c>
      <c r="J73" s="1">
        <v>984004.01</v>
      </c>
      <c r="K73" s="1">
        <v>102.16</v>
      </c>
      <c r="L73" s="1">
        <v>0.98766042499999995</v>
      </c>
      <c r="M73" s="1">
        <v>992075.77</v>
      </c>
      <c r="N73" s="1">
        <v>1198647.72</v>
      </c>
      <c r="O73" s="1">
        <v>856629.33</v>
      </c>
      <c r="P73" s="1">
        <v>52.01</v>
      </c>
      <c r="Q73" s="1">
        <v>930511.42</v>
      </c>
      <c r="R73" s="1">
        <v>3933.93</v>
      </c>
      <c r="S73" s="14">
        <f t="shared" si="4"/>
        <v>871899705.23042345</v>
      </c>
      <c r="T73" s="14">
        <f t="shared" si="5"/>
        <v>-3091195.9304234982</v>
      </c>
      <c r="W73">
        <v>22.569444444444439</v>
      </c>
      <c r="X73">
        <v>837831860.39999998</v>
      </c>
    </row>
    <row r="74" spans="1:24" x14ac:dyDescent="0.3">
      <c r="A74" s="7">
        <v>42736</v>
      </c>
      <c r="B74" s="5">
        <v>921410623.10000002</v>
      </c>
      <c r="C74" s="1">
        <v>105.09</v>
      </c>
      <c r="D74" s="1">
        <v>852.63</v>
      </c>
      <c r="E74" s="1">
        <v>970.02</v>
      </c>
      <c r="F74" s="1">
        <v>99.24</v>
      </c>
      <c r="G74" s="1">
        <v>102.56</v>
      </c>
      <c r="H74" s="1">
        <v>29600</v>
      </c>
      <c r="I74" s="1">
        <v>1252829.72</v>
      </c>
      <c r="J74" s="1">
        <v>971901.89</v>
      </c>
      <c r="K74" s="1">
        <v>102.7</v>
      </c>
      <c r="L74" s="1">
        <v>0.98766042499999995</v>
      </c>
      <c r="M74" s="1">
        <v>1275877.7</v>
      </c>
      <c r="N74" s="1">
        <v>1118632.8700000001</v>
      </c>
      <c r="O74" s="1">
        <v>803253.73</v>
      </c>
      <c r="P74" s="1">
        <v>52.56</v>
      </c>
      <c r="Q74" s="1">
        <v>787844.68</v>
      </c>
      <c r="R74" s="1">
        <v>3367.09</v>
      </c>
      <c r="S74" s="14">
        <f t="shared" si="4"/>
        <v>865229787.04607153</v>
      </c>
      <c r="T74" s="14">
        <f t="shared" si="5"/>
        <v>56180836.053928494</v>
      </c>
      <c r="W74">
        <v>23.263888888888889</v>
      </c>
      <c r="X74">
        <v>838521821.39999998</v>
      </c>
    </row>
    <row r="75" spans="1:24" x14ac:dyDescent="0.3">
      <c r="A75" s="7">
        <v>42767</v>
      </c>
      <c r="B75" s="5">
        <v>767363227.39999998</v>
      </c>
      <c r="C75" s="1">
        <v>106.25</v>
      </c>
      <c r="D75" s="1">
        <v>859.59</v>
      </c>
      <c r="E75" s="1">
        <v>858.36</v>
      </c>
      <c r="F75" s="1">
        <v>92.11</v>
      </c>
      <c r="G75" s="1">
        <v>102.56</v>
      </c>
      <c r="H75" s="1">
        <v>27800</v>
      </c>
      <c r="I75" s="1">
        <v>1324635.94</v>
      </c>
      <c r="J75" s="1">
        <v>957010.87</v>
      </c>
      <c r="K75" s="1">
        <v>102.23</v>
      </c>
      <c r="L75" s="1">
        <v>0.91214731299999996</v>
      </c>
      <c r="M75" s="1">
        <v>1102795.76</v>
      </c>
      <c r="N75" s="1">
        <v>1195383.99</v>
      </c>
      <c r="O75" s="1">
        <v>753575.11</v>
      </c>
      <c r="P75" s="1">
        <v>53.4</v>
      </c>
      <c r="Q75" s="1">
        <v>908858.86</v>
      </c>
      <c r="R75" s="1">
        <v>3093.04</v>
      </c>
      <c r="S75" s="14">
        <f t="shared" si="4"/>
        <v>890289518.18129301</v>
      </c>
      <c r="T75" s="14">
        <f t="shared" si="5"/>
        <v>-122926290.78129303</v>
      </c>
      <c r="W75">
        <v>23.958333333333329</v>
      </c>
      <c r="X75">
        <v>839943452.60000002</v>
      </c>
    </row>
    <row r="76" spans="1:24" x14ac:dyDescent="0.3">
      <c r="A76" s="7">
        <v>42795</v>
      </c>
      <c r="B76" s="5">
        <v>838521821.39999998</v>
      </c>
      <c r="C76" s="1">
        <v>107.53</v>
      </c>
      <c r="D76" s="1">
        <v>785.66</v>
      </c>
      <c r="E76" s="1">
        <v>761.15</v>
      </c>
      <c r="F76" s="1">
        <v>108.82</v>
      </c>
      <c r="G76" s="1">
        <v>103.57</v>
      </c>
      <c r="H76" s="1">
        <v>27900</v>
      </c>
      <c r="I76" s="1">
        <v>1392745.97</v>
      </c>
      <c r="J76" s="1">
        <v>1187489.81</v>
      </c>
      <c r="K76" s="1">
        <v>102.07</v>
      </c>
      <c r="L76" s="1">
        <v>0.91214731299999996</v>
      </c>
      <c r="M76" s="1">
        <v>1097418.67</v>
      </c>
      <c r="N76" s="1">
        <v>1299644.83</v>
      </c>
      <c r="O76" s="1">
        <v>877245.42</v>
      </c>
      <c r="P76" s="1">
        <v>49.58</v>
      </c>
      <c r="Q76" s="1">
        <v>902953.56</v>
      </c>
      <c r="R76" s="1">
        <v>3644.38</v>
      </c>
      <c r="S76" s="14">
        <f t="shared" si="4"/>
        <v>830100933.88231564</v>
      </c>
      <c r="T76" s="14">
        <f t="shared" si="5"/>
        <v>8420887.5176843405</v>
      </c>
      <c r="W76">
        <v>24.652777777777779</v>
      </c>
      <c r="X76">
        <v>840048569.70000005</v>
      </c>
    </row>
    <row r="77" spans="1:24" x14ac:dyDescent="0.3">
      <c r="A77" s="7">
        <v>42826</v>
      </c>
      <c r="B77" s="5">
        <v>846177887.5</v>
      </c>
      <c r="C77" s="1">
        <v>107.84</v>
      </c>
      <c r="D77" s="1">
        <v>804.77</v>
      </c>
      <c r="E77" s="1">
        <v>809.72</v>
      </c>
      <c r="F77" s="1">
        <v>94.83</v>
      </c>
      <c r="G77" s="1">
        <v>103.35</v>
      </c>
      <c r="H77" s="1">
        <v>27300</v>
      </c>
      <c r="I77" s="1">
        <v>1261636.5</v>
      </c>
      <c r="J77" s="1">
        <v>1204228.1000000001</v>
      </c>
      <c r="K77" s="1">
        <v>102.69</v>
      </c>
      <c r="L77" s="1">
        <v>0.91214731299999996</v>
      </c>
      <c r="M77" s="1">
        <v>1095112.75</v>
      </c>
      <c r="N77" s="1">
        <v>1230481.75</v>
      </c>
      <c r="O77" s="1">
        <v>898933.92</v>
      </c>
      <c r="P77" s="1">
        <v>51.17</v>
      </c>
      <c r="Q77" s="1">
        <v>873428.89</v>
      </c>
      <c r="R77" s="1">
        <v>3505.05</v>
      </c>
      <c r="S77" s="14">
        <f t="shared" si="4"/>
        <v>833146249.99617386</v>
      </c>
      <c r="T77" s="14">
        <f t="shared" si="5"/>
        <v>13031637.503826141</v>
      </c>
      <c r="W77">
        <v>25.347222222222221</v>
      </c>
      <c r="X77">
        <v>845610436.70000005</v>
      </c>
    </row>
    <row r="78" spans="1:24" x14ac:dyDescent="0.3">
      <c r="A78" s="7">
        <v>42856</v>
      </c>
      <c r="B78" s="5">
        <v>1010183347</v>
      </c>
      <c r="C78" s="1">
        <v>107.39</v>
      </c>
      <c r="D78" s="1">
        <v>842.01</v>
      </c>
      <c r="E78" s="1">
        <v>859.23</v>
      </c>
      <c r="F78" s="1">
        <v>103.75</v>
      </c>
      <c r="G78" s="1">
        <v>103.8</v>
      </c>
      <c r="H78" s="1">
        <v>29500</v>
      </c>
      <c r="I78" s="1">
        <v>1395390.52</v>
      </c>
      <c r="J78" s="1">
        <v>1045629.48</v>
      </c>
      <c r="K78" s="1">
        <v>102.22</v>
      </c>
      <c r="L78" s="1">
        <v>1.044546159</v>
      </c>
      <c r="M78" s="1">
        <v>1136448.58</v>
      </c>
      <c r="N78" s="1">
        <v>1452758.62</v>
      </c>
      <c r="O78" s="1">
        <v>1022218.12</v>
      </c>
      <c r="P78" s="1">
        <v>48.56</v>
      </c>
      <c r="Q78" s="1">
        <v>976334.01</v>
      </c>
      <c r="R78" s="1">
        <v>3494.26</v>
      </c>
      <c r="S78" s="14">
        <f t="shared" si="4"/>
        <v>1010045845.7311893</v>
      </c>
      <c r="T78" s="14">
        <f t="shared" si="5"/>
        <v>137501.26881074905</v>
      </c>
      <c r="W78">
        <v>26.041666666666661</v>
      </c>
      <c r="X78">
        <v>846177887.5</v>
      </c>
    </row>
    <row r="79" spans="1:24" x14ac:dyDescent="0.3">
      <c r="A79" s="7">
        <v>42887</v>
      </c>
      <c r="B79" s="5">
        <v>969224748.10000002</v>
      </c>
      <c r="C79" s="1">
        <v>108.87</v>
      </c>
      <c r="D79" s="1">
        <v>845.54</v>
      </c>
      <c r="E79" s="1">
        <v>869.5</v>
      </c>
      <c r="F79" s="1">
        <v>107.46</v>
      </c>
      <c r="G79" s="1">
        <v>104.02</v>
      </c>
      <c r="H79" s="1">
        <v>29800</v>
      </c>
      <c r="I79" s="1">
        <v>1156326.23</v>
      </c>
      <c r="J79" s="1">
        <v>955739.43</v>
      </c>
      <c r="K79" s="1">
        <v>102.66</v>
      </c>
      <c r="L79" s="1">
        <v>1.044546159</v>
      </c>
      <c r="M79" s="1">
        <v>989945.53</v>
      </c>
      <c r="N79" s="1">
        <v>1115993.8400000001</v>
      </c>
      <c r="O79" s="1">
        <v>803935.93</v>
      </c>
      <c r="P79" s="1">
        <v>45.17</v>
      </c>
      <c r="Q79" s="1">
        <v>958787.46</v>
      </c>
      <c r="R79" s="1">
        <v>2929.09</v>
      </c>
      <c r="S79" s="14">
        <f t="shared" si="4"/>
        <v>966249032.71389294</v>
      </c>
      <c r="T79" s="14">
        <f t="shared" si="5"/>
        <v>2975715.3861070871</v>
      </c>
      <c r="W79">
        <v>26.736111111111111</v>
      </c>
      <c r="X79">
        <v>856752647.70000005</v>
      </c>
    </row>
    <row r="80" spans="1:24" x14ac:dyDescent="0.3">
      <c r="A80" s="7">
        <v>42917</v>
      </c>
      <c r="B80" s="5">
        <v>1041600591</v>
      </c>
      <c r="C80" s="1">
        <v>108.73</v>
      </c>
      <c r="D80" s="1">
        <v>867.13</v>
      </c>
      <c r="E80" s="1">
        <v>875.65</v>
      </c>
      <c r="F80" s="1">
        <v>104.39</v>
      </c>
      <c r="G80" s="1">
        <v>104.25</v>
      </c>
      <c r="H80" s="1">
        <v>29600</v>
      </c>
      <c r="I80" s="1">
        <v>1463326.67</v>
      </c>
      <c r="J80" s="1">
        <v>937902.77</v>
      </c>
      <c r="K80" s="1">
        <v>102.77</v>
      </c>
      <c r="L80" s="1">
        <v>1.044546159</v>
      </c>
      <c r="M80" s="1">
        <v>1330072.29</v>
      </c>
      <c r="N80" s="1">
        <v>1205325.25</v>
      </c>
      <c r="O80" s="1">
        <v>690804.55</v>
      </c>
      <c r="P80" s="1">
        <v>46.69</v>
      </c>
      <c r="Q80" s="1">
        <v>974195.5</v>
      </c>
      <c r="R80" s="1">
        <v>3114.34</v>
      </c>
      <c r="S80" s="14">
        <f t="shared" si="4"/>
        <v>1054203387.1987209</v>
      </c>
      <c r="T80" s="14">
        <f t="shared" si="5"/>
        <v>-12602796.198720932</v>
      </c>
      <c r="W80">
        <v>27.43055555555555</v>
      </c>
      <c r="X80">
        <v>859447165.10000002</v>
      </c>
    </row>
    <row r="81" spans="1:24" x14ac:dyDescent="0.3">
      <c r="A81" s="7">
        <v>42948</v>
      </c>
      <c r="B81" s="5">
        <v>1047272941</v>
      </c>
      <c r="C81" s="1">
        <v>109.77</v>
      </c>
      <c r="D81" s="1">
        <v>855.15</v>
      </c>
      <c r="E81" s="1">
        <v>869.1</v>
      </c>
      <c r="F81" s="1">
        <v>111.51</v>
      </c>
      <c r="G81" s="1">
        <v>103.57</v>
      </c>
      <c r="H81" s="1">
        <v>30300</v>
      </c>
      <c r="I81" s="1">
        <v>1390896.19</v>
      </c>
      <c r="J81" s="1">
        <v>1111953.52</v>
      </c>
      <c r="K81" s="1">
        <v>102.54</v>
      </c>
      <c r="L81" s="1">
        <v>1.0556461029999999</v>
      </c>
      <c r="M81" s="1">
        <v>1159143.49</v>
      </c>
      <c r="N81" s="1">
        <v>1217371.17</v>
      </c>
      <c r="O81" s="1">
        <v>1100604.0900000001</v>
      </c>
      <c r="P81" s="1">
        <v>48.07</v>
      </c>
      <c r="Q81" s="1">
        <v>997620.37</v>
      </c>
      <c r="R81" s="1">
        <v>2979.87</v>
      </c>
      <c r="S81" s="14">
        <f t="shared" si="4"/>
        <v>1053252054.4863181</v>
      </c>
      <c r="T81" s="14">
        <f t="shared" si="5"/>
        <v>-5979113.4863181114</v>
      </c>
      <c r="W81">
        <v>28.125</v>
      </c>
      <c r="X81">
        <v>860151481.89999998</v>
      </c>
    </row>
    <row r="82" spans="1:24" x14ac:dyDescent="0.3">
      <c r="A82" s="7">
        <v>42979</v>
      </c>
      <c r="B82" s="5">
        <v>986033698.20000005</v>
      </c>
      <c r="C82" s="1">
        <v>111.04</v>
      </c>
      <c r="D82" s="1">
        <v>823.76</v>
      </c>
      <c r="E82" s="1">
        <v>774.27</v>
      </c>
      <c r="F82" s="1">
        <v>109.74</v>
      </c>
      <c r="G82" s="1">
        <v>105.14</v>
      </c>
      <c r="H82" s="1">
        <v>30900</v>
      </c>
      <c r="I82" s="1">
        <v>1424501.34</v>
      </c>
      <c r="J82" s="1">
        <v>1067411.81</v>
      </c>
      <c r="K82" s="1">
        <v>104.27</v>
      </c>
      <c r="L82" s="1">
        <v>1.0556461029999999</v>
      </c>
      <c r="M82" s="1">
        <v>1080055.97</v>
      </c>
      <c r="N82" s="1">
        <v>1027631.93</v>
      </c>
      <c r="O82" s="1">
        <v>851841.53</v>
      </c>
      <c r="P82" s="1">
        <v>49.89</v>
      </c>
      <c r="Q82" s="1">
        <v>920773.07</v>
      </c>
      <c r="R82" s="1">
        <v>3543.01</v>
      </c>
      <c r="S82" s="14">
        <f t="shared" si="4"/>
        <v>1066699581.8564072</v>
      </c>
      <c r="T82" s="14">
        <f t="shared" si="5"/>
        <v>-80665883.656407118</v>
      </c>
      <c r="W82">
        <v>28.819444444444439</v>
      </c>
      <c r="X82">
        <v>865907095</v>
      </c>
    </row>
    <row r="83" spans="1:24" x14ac:dyDescent="0.3">
      <c r="A83" s="7">
        <v>43009</v>
      </c>
      <c r="B83" s="5">
        <v>936327803.29999995</v>
      </c>
      <c r="C83" s="1">
        <v>109.87</v>
      </c>
      <c r="D83" s="1">
        <v>774.1</v>
      </c>
      <c r="E83" s="1">
        <v>736.16</v>
      </c>
      <c r="F83" s="1">
        <v>107.54</v>
      </c>
      <c r="G83" s="1">
        <v>103.46</v>
      </c>
      <c r="H83" s="1">
        <v>34200</v>
      </c>
      <c r="I83" s="1">
        <v>1284480.8700000001</v>
      </c>
      <c r="J83" s="1">
        <v>1083670.93</v>
      </c>
      <c r="K83" s="1">
        <v>104.46</v>
      </c>
      <c r="L83" s="1">
        <v>1.0556461029999999</v>
      </c>
      <c r="M83" s="1">
        <v>1056663.26</v>
      </c>
      <c r="N83" s="1">
        <v>955281.93</v>
      </c>
      <c r="O83" s="1">
        <v>1025789.41</v>
      </c>
      <c r="P83" s="1">
        <v>51.61</v>
      </c>
      <c r="Q83" s="1">
        <v>942604.69</v>
      </c>
      <c r="R83" s="1">
        <v>3580.32</v>
      </c>
      <c r="S83" s="14">
        <f t="shared" si="4"/>
        <v>981407335.55598307</v>
      </c>
      <c r="T83" s="14">
        <f t="shared" si="5"/>
        <v>-45079532.255983114</v>
      </c>
      <c r="W83">
        <v>29.513888888888889</v>
      </c>
      <c r="X83">
        <v>868808509.29999995</v>
      </c>
    </row>
    <row r="84" spans="1:24" x14ac:dyDescent="0.3">
      <c r="A84" s="7">
        <v>43040</v>
      </c>
      <c r="B84" s="5">
        <v>933792029.20000005</v>
      </c>
      <c r="C84" s="1">
        <v>111.08</v>
      </c>
      <c r="D84" s="1">
        <v>784.75</v>
      </c>
      <c r="E84" s="1">
        <v>758.2</v>
      </c>
      <c r="F84" s="1">
        <v>109.05</v>
      </c>
      <c r="G84" s="1">
        <v>105.14</v>
      </c>
      <c r="H84" s="1">
        <v>34100</v>
      </c>
      <c r="I84" s="1">
        <v>1375167.35</v>
      </c>
      <c r="J84" s="1">
        <v>977372.35</v>
      </c>
      <c r="K84" s="1">
        <v>104.92</v>
      </c>
      <c r="L84" s="1">
        <v>0.98766042499999995</v>
      </c>
      <c r="M84" s="1">
        <v>1153596.6599999999</v>
      </c>
      <c r="N84" s="1">
        <v>1114824.21</v>
      </c>
      <c r="O84" s="1">
        <v>869118.69</v>
      </c>
      <c r="P84" s="1">
        <v>56.68</v>
      </c>
      <c r="Q84" s="1">
        <v>1005327.47</v>
      </c>
      <c r="R84" s="1">
        <v>3580.34</v>
      </c>
      <c r="S84" s="14">
        <f t="shared" si="4"/>
        <v>984621349.99050474</v>
      </c>
      <c r="T84" s="14">
        <f t="shared" si="5"/>
        <v>-50829320.790504694</v>
      </c>
      <c r="W84">
        <v>30.208333333333329</v>
      </c>
      <c r="X84">
        <v>869749540.60000002</v>
      </c>
    </row>
    <row r="85" spans="1:24" x14ac:dyDescent="0.3">
      <c r="A85" s="7">
        <v>43070</v>
      </c>
      <c r="B85" s="5">
        <v>950975052.5</v>
      </c>
      <c r="C85" s="1">
        <v>111.62</v>
      </c>
      <c r="D85" s="1">
        <v>764.43</v>
      </c>
      <c r="E85" s="1">
        <v>727.14</v>
      </c>
      <c r="F85" s="1">
        <v>111.67</v>
      </c>
      <c r="G85" s="1">
        <v>105.59</v>
      </c>
      <c r="H85" s="1">
        <v>34700</v>
      </c>
      <c r="I85" s="1">
        <v>1376215.68</v>
      </c>
      <c r="J85" s="1">
        <v>1146994.44</v>
      </c>
      <c r="K85" s="1">
        <v>105.18</v>
      </c>
      <c r="L85" s="1">
        <v>0.98766042499999995</v>
      </c>
      <c r="M85" s="1">
        <v>1206644.8600000001</v>
      </c>
      <c r="N85" s="1">
        <v>1315839.99</v>
      </c>
      <c r="O85" s="1">
        <v>827606.37</v>
      </c>
      <c r="P85" s="1">
        <v>57.93</v>
      </c>
      <c r="Q85" s="1">
        <v>1000177.78</v>
      </c>
      <c r="R85" s="1">
        <v>3724.54</v>
      </c>
      <c r="S85" s="14">
        <f t="shared" si="4"/>
        <v>936405636.37876272</v>
      </c>
      <c r="T85" s="14">
        <f t="shared" si="5"/>
        <v>14569416.121237278</v>
      </c>
      <c r="W85">
        <v>30.902777777777779</v>
      </c>
      <c r="X85">
        <v>871151610.39999998</v>
      </c>
    </row>
    <row r="86" spans="1:24" x14ac:dyDescent="0.3">
      <c r="A86" s="7">
        <v>43101</v>
      </c>
      <c r="B86" s="5">
        <v>989032370.89999998</v>
      </c>
      <c r="C86" s="1">
        <v>110.76</v>
      </c>
      <c r="D86" s="1">
        <v>802.19</v>
      </c>
      <c r="E86" s="1">
        <v>840.04</v>
      </c>
      <c r="F86" s="1">
        <v>108.57</v>
      </c>
      <c r="G86" s="1">
        <v>104.47</v>
      </c>
      <c r="H86" s="1">
        <v>31200</v>
      </c>
      <c r="I86" s="1">
        <v>1458779.6</v>
      </c>
      <c r="J86" s="1">
        <v>1111949.1499999999</v>
      </c>
      <c r="K86" s="1">
        <v>104.09</v>
      </c>
      <c r="L86" s="1">
        <v>0.98766042499999995</v>
      </c>
      <c r="M86" s="1">
        <v>1331012.02</v>
      </c>
      <c r="N86" s="1">
        <v>1175536.03</v>
      </c>
      <c r="O86" s="1">
        <v>1053697.53</v>
      </c>
      <c r="P86" s="1">
        <v>63.66</v>
      </c>
      <c r="Q86" s="1">
        <v>1026094.73</v>
      </c>
      <c r="R86" s="1">
        <v>3785.33</v>
      </c>
      <c r="S86" s="14">
        <f t="shared" si="4"/>
        <v>996768968.88970852</v>
      </c>
      <c r="T86" s="14">
        <f t="shared" si="5"/>
        <v>-7736597.9897085428</v>
      </c>
      <c r="W86">
        <v>31.597222222222221</v>
      </c>
      <c r="X86">
        <v>872724221</v>
      </c>
    </row>
    <row r="87" spans="1:24" x14ac:dyDescent="0.3">
      <c r="A87" s="7">
        <v>43132</v>
      </c>
      <c r="B87" s="5">
        <v>937774259.60000002</v>
      </c>
      <c r="C87" s="1">
        <v>115.27</v>
      </c>
      <c r="D87" s="1">
        <v>840.59</v>
      </c>
      <c r="E87" s="1">
        <v>869.46</v>
      </c>
      <c r="F87" s="1">
        <v>87.75</v>
      </c>
      <c r="G87" s="1">
        <v>104.58</v>
      </c>
      <c r="H87" s="1">
        <v>29300</v>
      </c>
      <c r="I87" s="1">
        <v>1164212.8400000001</v>
      </c>
      <c r="J87" s="1">
        <v>963942.93</v>
      </c>
      <c r="K87" s="1">
        <v>104.44</v>
      </c>
      <c r="L87" s="1">
        <v>0.91214731299999996</v>
      </c>
      <c r="M87" s="1">
        <v>1144931.2</v>
      </c>
      <c r="N87" s="1">
        <v>955290.35</v>
      </c>
      <c r="O87" s="1">
        <v>596112.85</v>
      </c>
      <c r="P87" s="1">
        <v>62.16</v>
      </c>
      <c r="Q87" s="1">
        <v>795707.98</v>
      </c>
      <c r="R87" s="1">
        <v>2700.1</v>
      </c>
      <c r="S87" s="14">
        <f t="shared" si="4"/>
        <v>946435271.70343208</v>
      </c>
      <c r="T87" s="14">
        <f t="shared" si="5"/>
        <v>-8661012.1034320593</v>
      </c>
      <c r="W87">
        <v>32.291666666666657</v>
      </c>
      <c r="X87">
        <v>877090455.20000005</v>
      </c>
    </row>
    <row r="88" spans="1:24" x14ac:dyDescent="0.3">
      <c r="A88" s="7">
        <v>43160</v>
      </c>
      <c r="B88" s="5">
        <v>894117880.60000002</v>
      </c>
      <c r="C88" s="1">
        <v>109.53</v>
      </c>
      <c r="D88" s="1">
        <v>809.75</v>
      </c>
      <c r="E88" s="1">
        <v>675.46</v>
      </c>
      <c r="F88" s="1">
        <v>115.24</v>
      </c>
      <c r="G88" s="1">
        <v>105.26</v>
      </c>
      <c r="H88" s="1">
        <v>29200</v>
      </c>
      <c r="I88" s="1">
        <v>1517733.58</v>
      </c>
      <c r="J88" s="1">
        <v>1178208.95</v>
      </c>
      <c r="K88" s="1">
        <v>104.21</v>
      </c>
      <c r="L88" s="1">
        <v>0.91214731299999996</v>
      </c>
      <c r="M88" s="1">
        <v>1382826.78</v>
      </c>
      <c r="N88" s="1">
        <v>1358568.84</v>
      </c>
      <c r="O88" s="1">
        <v>571295.61</v>
      </c>
      <c r="P88" s="1">
        <v>62.78</v>
      </c>
      <c r="Q88" s="1">
        <v>1031697.85</v>
      </c>
      <c r="R88" s="1">
        <v>3721.51</v>
      </c>
      <c r="S88" s="14">
        <f t="shared" si="4"/>
        <v>891994132.51958227</v>
      </c>
      <c r="T88" s="14">
        <f t="shared" si="5"/>
        <v>2123748.0804177523</v>
      </c>
      <c r="W88">
        <v>32.986111111111107</v>
      </c>
      <c r="X88">
        <v>879431387.39999998</v>
      </c>
    </row>
    <row r="89" spans="1:24" x14ac:dyDescent="0.3">
      <c r="A89" s="7">
        <v>43191</v>
      </c>
      <c r="B89" s="5">
        <v>931235048</v>
      </c>
      <c r="C89" s="1">
        <v>111.49</v>
      </c>
      <c r="D89" s="1">
        <v>749.27</v>
      </c>
      <c r="E89" s="1">
        <v>667.16</v>
      </c>
      <c r="F89" s="1">
        <v>102.75</v>
      </c>
      <c r="G89" s="1">
        <v>105.59</v>
      </c>
      <c r="H89" s="1">
        <v>28500</v>
      </c>
      <c r="I89" s="1">
        <v>1354343.76</v>
      </c>
      <c r="J89" s="1">
        <v>1031849.87</v>
      </c>
      <c r="K89" s="1">
        <v>104.48</v>
      </c>
      <c r="L89" s="1">
        <v>0.91214731299999996</v>
      </c>
      <c r="M89" s="1">
        <v>1197773.18</v>
      </c>
      <c r="N89" s="1">
        <v>1236965.32</v>
      </c>
      <c r="O89" s="1">
        <v>844962.53</v>
      </c>
      <c r="P89" s="1">
        <v>66.319999999999993</v>
      </c>
      <c r="Q89" s="1">
        <v>968948.89</v>
      </c>
      <c r="R89" s="1">
        <v>3237.38</v>
      </c>
      <c r="S89" s="14">
        <f t="shared" si="4"/>
        <v>851694470.44067287</v>
      </c>
      <c r="T89" s="14">
        <f t="shared" si="5"/>
        <v>79540577.559327126</v>
      </c>
      <c r="W89">
        <v>33.68055555555555</v>
      </c>
      <c r="X89">
        <v>884253253.89999998</v>
      </c>
    </row>
    <row r="90" spans="1:24" x14ac:dyDescent="0.3">
      <c r="A90" s="7">
        <v>43221</v>
      </c>
      <c r="B90" s="5">
        <v>1005124306</v>
      </c>
      <c r="C90" s="1">
        <v>114.05</v>
      </c>
      <c r="D90" s="1">
        <v>774.38</v>
      </c>
      <c r="E90" s="1">
        <v>770.61</v>
      </c>
      <c r="F90" s="1">
        <v>111.41</v>
      </c>
      <c r="G90" s="1">
        <v>105.82</v>
      </c>
      <c r="H90" s="1">
        <v>30400</v>
      </c>
      <c r="I90" s="1">
        <v>1515483.55</v>
      </c>
      <c r="J90" s="1">
        <v>1161444.3899999999</v>
      </c>
      <c r="K90" s="1">
        <v>105.46</v>
      </c>
      <c r="L90" s="1">
        <v>1.044546159</v>
      </c>
      <c r="M90" s="1">
        <v>1213383.17</v>
      </c>
      <c r="N90" s="1">
        <v>1502368.18</v>
      </c>
      <c r="O90" s="1">
        <v>1013341.56</v>
      </c>
      <c r="P90" s="1">
        <v>69.989999999999995</v>
      </c>
      <c r="Q90" s="1">
        <v>1095661.19</v>
      </c>
      <c r="R90" s="1">
        <v>3554.03</v>
      </c>
      <c r="S90" s="14">
        <f t="shared" si="4"/>
        <v>1050249205.7738461</v>
      </c>
      <c r="T90" s="14">
        <f t="shared" si="5"/>
        <v>-45124899.773846149</v>
      </c>
      <c r="W90">
        <v>34.375</v>
      </c>
      <c r="X90">
        <v>894117880.60000002</v>
      </c>
    </row>
    <row r="91" spans="1:24" x14ac:dyDescent="0.3">
      <c r="A91" s="7">
        <v>43252</v>
      </c>
      <c r="B91" s="5">
        <v>1031430918</v>
      </c>
      <c r="C91" s="1">
        <v>112.66</v>
      </c>
      <c r="D91" s="1">
        <v>812.18</v>
      </c>
      <c r="E91" s="1">
        <v>806.04</v>
      </c>
      <c r="F91" s="1">
        <v>107.45</v>
      </c>
      <c r="G91" s="1">
        <v>105.59</v>
      </c>
      <c r="H91" s="1">
        <v>30800</v>
      </c>
      <c r="I91" s="1">
        <v>1344364.54</v>
      </c>
      <c r="J91" s="1">
        <v>1011208.58</v>
      </c>
      <c r="K91" s="1">
        <v>104.81</v>
      </c>
      <c r="L91" s="1">
        <v>1.044546159</v>
      </c>
      <c r="M91" s="1">
        <v>1140539.3500000001</v>
      </c>
      <c r="N91" s="1">
        <v>1214476.98</v>
      </c>
      <c r="O91" s="1">
        <v>749309.19</v>
      </c>
      <c r="P91" s="1">
        <v>67.3</v>
      </c>
      <c r="Q91" s="1">
        <v>999476.1</v>
      </c>
      <c r="R91" s="1">
        <v>3211.17</v>
      </c>
      <c r="S91" s="14">
        <f t="shared" si="4"/>
        <v>1010720111.3698688</v>
      </c>
      <c r="T91" s="14">
        <f t="shared" si="5"/>
        <v>20710806.630131245</v>
      </c>
      <c r="W91">
        <v>35.069444444444443</v>
      </c>
      <c r="X91">
        <v>900888985.5</v>
      </c>
    </row>
    <row r="92" spans="1:24" x14ac:dyDescent="0.3">
      <c r="A92" s="7">
        <v>43282</v>
      </c>
      <c r="B92" s="5">
        <v>1089106723</v>
      </c>
      <c r="C92" s="1">
        <v>113.77</v>
      </c>
      <c r="D92" s="1">
        <v>821.87</v>
      </c>
      <c r="E92" s="1">
        <v>821.49</v>
      </c>
      <c r="F92" s="1">
        <v>109.29</v>
      </c>
      <c r="G92" s="1">
        <v>105.82</v>
      </c>
      <c r="H92" s="1">
        <v>30700</v>
      </c>
      <c r="I92" s="1">
        <v>1427339.71</v>
      </c>
      <c r="J92" s="1">
        <v>1155852.76</v>
      </c>
      <c r="K92" s="1">
        <v>105.27</v>
      </c>
      <c r="L92" s="1">
        <v>1.044546159</v>
      </c>
      <c r="M92" s="1">
        <v>1097343.1299999999</v>
      </c>
      <c r="N92" s="1">
        <v>1145406.75</v>
      </c>
      <c r="O92" s="1">
        <v>1053832.3600000001</v>
      </c>
      <c r="P92" s="1">
        <v>70.48</v>
      </c>
      <c r="Q92" s="1">
        <v>978159.75</v>
      </c>
      <c r="R92" s="1">
        <v>3740.52</v>
      </c>
      <c r="S92" s="14">
        <f t="shared" si="4"/>
        <v>1087719567.1478295</v>
      </c>
      <c r="T92" s="14">
        <f t="shared" si="5"/>
        <v>1387155.8521704674</v>
      </c>
      <c r="W92">
        <v>35.763888888888893</v>
      </c>
      <c r="X92">
        <v>906526843.5</v>
      </c>
    </row>
    <row r="93" spans="1:24" x14ac:dyDescent="0.3">
      <c r="A93" s="7">
        <v>43313</v>
      </c>
      <c r="B93" s="5">
        <v>1098437144</v>
      </c>
      <c r="C93" s="1">
        <v>114.36</v>
      </c>
      <c r="D93" s="1">
        <v>831.29</v>
      </c>
      <c r="E93" s="1">
        <v>893.88</v>
      </c>
      <c r="F93" s="1">
        <v>112.75</v>
      </c>
      <c r="G93" s="1">
        <v>105.71</v>
      </c>
      <c r="H93" s="1">
        <v>31500</v>
      </c>
      <c r="I93" s="1">
        <v>1072974.02</v>
      </c>
      <c r="J93" s="1">
        <v>1115424.3999999999</v>
      </c>
      <c r="K93" s="1">
        <v>104.94</v>
      </c>
      <c r="L93" s="1">
        <v>1.0556461029999999</v>
      </c>
      <c r="M93" s="1">
        <v>1113346.6000000001</v>
      </c>
      <c r="N93" s="1">
        <v>1268918.79</v>
      </c>
      <c r="O93" s="1">
        <v>748708.91</v>
      </c>
      <c r="P93" s="1">
        <v>67.790000000000006</v>
      </c>
      <c r="Q93" s="1">
        <v>951222.93</v>
      </c>
      <c r="R93" s="1">
        <v>3622.76</v>
      </c>
      <c r="S93" s="14">
        <f t="shared" si="4"/>
        <v>983527671.46930933</v>
      </c>
      <c r="T93" s="14">
        <f t="shared" si="5"/>
        <v>114909472.53069067</v>
      </c>
      <c r="W93">
        <v>36.458333333333329</v>
      </c>
      <c r="X93">
        <v>908891613.29999995</v>
      </c>
    </row>
    <row r="94" spans="1:24" x14ac:dyDescent="0.3">
      <c r="A94" s="7">
        <v>43344</v>
      </c>
      <c r="B94" s="5">
        <v>1097405885</v>
      </c>
      <c r="C94" s="1">
        <v>113.54</v>
      </c>
      <c r="D94" s="1">
        <v>854.84</v>
      </c>
      <c r="E94" s="1">
        <v>899.98</v>
      </c>
      <c r="F94" s="1">
        <v>111.57</v>
      </c>
      <c r="G94" s="1">
        <v>105.71</v>
      </c>
      <c r="H94" s="1">
        <v>32000</v>
      </c>
      <c r="I94" s="1">
        <v>1498423.31</v>
      </c>
      <c r="J94" s="1">
        <v>1069960.1100000001</v>
      </c>
      <c r="K94" s="1">
        <v>104.59</v>
      </c>
      <c r="L94" s="1">
        <v>1.0556461029999999</v>
      </c>
      <c r="M94" s="1">
        <v>1133032.8</v>
      </c>
      <c r="N94" s="1">
        <v>1276052.81</v>
      </c>
      <c r="O94" s="1">
        <v>972997.46</v>
      </c>
      <c r="P94" s="1">
        <v>70.06</v>
      </c>
      <c r="Q94" s="1">
        <v>932070.85</v>
      </c>
      <c r="R94" s="1">
        <v>3853.68</v>
      </c>
      <c r="S94" s="14">
        <f t="shared" si="4"/>
        <v>1132799663.3177714</v>
      </c>
      <c r="T94" s="14">
        <f t="shared" si="5"/>
        <v>-35393778.317771435</v>
      </c>
      <c r="W94">
        <v>37.152777777777779</v>
      </c>
      <c r="X94">
        <v>909802011.20000005</v>
      </c>
    </row>
    <row r="95" spans="1:24" x14ac:dyDescent="0.3">
      <c r="A95" s="7">
        <v>43374</v>
      </c>
      <c r="B95" s="5">
        <v>1085378948</v>
      </c>
      <c r="C95" s="1">
        <v>115.48</v>
      </c>
      <c r="D95" s="1">
        <v>831.44</v>
      </c>
      <c r="E95" s="1">
        <v>915.38</v>
      </c>
      <c r="F95" s="1">
        <v>116.97</v>
      </c>
      <c r="G95" s="1">
        <v>106.27</v>
      </c>
      <c r="H95" s="1">
        <v>35500</v>
      </c>
      <c r="I95" s="1">
        <v>1417367.81</v>
      </c>
      <c r="J95" s="1">
        <v>1169908.24</v>
      </c>
      <c r="K95" s="1">
        <v>105.55</v>
      </c>
      <c r="L95" s="1">
        <v>1.0556461029999999</v>
      </c>
      <c r="M95" s="1">
        <v>1345811.97</v>
      </c>
      <c r="N95" s="1">
        <v>1392031.81</v>
      </c>
      <c r="O95" s="1">
        <v>813438.24</v>
      </c>
      <c r="P95" s="1">
        <v>70.78</v>
      </c>
      <c r="Q95" s="1">
        <v>1011621.27</v>
      </c>
      <c r="R95" s="1">
        <v>3650.62</v>
      </c>
      <c r="S95" s="14">
        <f t="shared" si="4"/>
        <v>1078330521.3806901</v>
      </c>
      <c r="T95" s="14">
        <f t="shared" si="5"/>
        <v>7048426.6193099022</v>
      </c>
      <c r="W95">
        <v>37.847222222222221</v>
      </c>
      <c r="X95">
        <v>910706403.20000005</v>
      </c>
    </row>
    <row r="96" spans="1:24" x14ac:dyDescent="0.3">
      <c r="A96" s="7">
        <v>43405</v>
      </c>
      <c r="B96" s="5">
        <v>1151726966</v>
      </c>
      <c r="C96" s="1">
        <v>114.48</v>
      </c>
      <c r="D96" s="1">
        <v>857.45</v>
      </c>
      <c r="E96" s="1">
        <v>951.57</v>
      </c>
      <c r="F96" s="1">
        <v>111.85</v>
      </c>
      <c r="G96" s="1">
        <v>106.49</v>
      </c>
      <c r="H96" s="1">
        <v>35300</v>
      </c>
      <c r="I96" s="1">
        <v>1206943.3999999999</v>
      </c>
      <c r="J96" s="1">
        <v>972242.55</v>
      </c>
      <c r="K96" s="1">
        <v>106.08</v>
      </c>
      <c r="L96" s="1">
        <v>0.98766042499999995</v>
      </c>
      <c r="M96" s="1">
        <v>1125360.23</v>
      </c>
      <c r="N96" s="1">
        <v>1365625.57</v>
      </c>
      <c r="O96" s="1">
        <v>747890.36</v>
      </c>
      <c r="P96" s="1">
        <v>56.7</v>
      </c>
      <c r="Q96" s="1">
        <v>933980.93</v>
      </c>
      <c r="R96" s="1">
        <v>2943.62</v>
      </c>
      <c r="S96" s="14">
        <f t="shared" si="4"/>
        <v>1020607852.1940641</v>
      </c>
      <c r="T96" s="14">
        <f t="shared" si="5"/>
        <v>131119113.80593586</v>
      </c>
      <c r="W96">
        <v>38.541666666666657</v>
      </c>
      <c r="X96">
        <v>911312078.79999995</v>
      </c>
    </row>
    <row r="97" spans="1:24" x14ac:dyDescent="0.3">
      <c r="A97" s="7">
        <v>43435</v>
      </c>
      <c r="B97" s="5">
        <v>1191693765</v>
      </c>
      <c r="C97" s="1">
        <v>116.02</v>
      </c>
      <c r="D97" s="1">
        <v>848.15</v>
      </c>
      <c r="E97" s="1">
        <v>855.1</v>
      </c>
      <c r="F97" s="1">
        <v>110.49</v>
      </c>
      <c r="G97" s="1">
        <v>106.49</v>
      </c>
      <c r="H97" s="1">
        <v>35900</v>
      </c>
      <c r="I97" s="1">
        <v>1341704.17</v>
      </c>
      <c r="J97" s="1">
        <v>942525.52</v>
      </c>
      <c r="K97" s="1">
        <v>103.57</v>
      </c>
      <c r="L97" s="1">
        <v>0.98766042499999995</v>
      </c>
      <c r="M97" s="1">
        <v>1220843.8500000001</v>
      </c>
      <c r="N97" s="1">
        <v>1424144.07</v>
      </c>
      <c r="O97" s="1">
        <v>844935.17</v>
      </c>
      <c r="P97" s="1">
        <v>49.08</v>
      </c>
      <c r="Q97" s="1">
        <v>1006728.03</v>
      </c>
      <c r="R97" s="1">
        <v>3845.42</v>
      </c>
      <c r="S97" s="14">
        <f t="shared" si="4"/>
        <v>1141094104.159451</v>
      </c>
      <c r="T97" s="14">
        <f t="shared" si="5"/>
        <v>50599660.840548992</v>
      </c>
      <c r="W97">
        <v>39.236111111111107</v>
      </c>
      <c r="X97">
        <v>913545656.20000005</v>
      </c>
    </row>
    <row r="98" spans="1:24" x14ac:dyDescent="0.3">
      <c r="A98" s="7">
        <v>43466</v>
      </c>
      <c r="B98" s="5">
        <v>1160576030</v>
      </c>
      <c r="C98" s="1">
        <v>115.66</v>
      </c>
      <c r="D98" s="1">
        <v>863.19</v>
      </c>
      <c r="E98" s="1">
        <v>943.15</v>
      </c>
      <c r="F98" s="1">
        <v>107.2</v>
      </c>
      <c r="G98" s="1">
        <v>107.28</v>
      </c>
      <c r="H98" s="1">
        <v>33700</v>
      </c>
      <c r="I98" s="1">
        <v>1315392.79</v>
      </c>
      <c r="J98" s="1">
        <v>1048319.62</v>
      </c>
      <c r="K98" s="1">
        <v>104.43</v>
      </c>
      <c r="L98" s="1">
        <v>0.98766042499999995</v>
      </c>
      <c r="M98" s="1">
        <v>1322635.3899999999</v>
      </c>
      <c r="N98" s="1">
        <v>1356409.67</v>
      </c>
      <c r="O98" s="1">
        <v>1056771.04</v>
      </c>
      <c r="P98" s="1">
        <v>51.57</v>
      </c>
      <c r="Q98" s="1">
        <v>923082.74</v>
      </c>
      <c r="R98" s="1">
        <v>3885.85</v>
      </c>
      <c r="S98" s="14">
        <f t="shared" ref="S98:S129" si="6">$W$38+SUMPRODUCT($X$38:$AM$38,C98:R98)</f>
        <v>1131728443.9953065</v>
      </c>
      <c r="T98" s="14">
        <f t="shared" ref="T98:T129" si="7">B98-S98</f>
        <v>28847586.004693508</v>
      </c>
      <c r="W98">
        <v>39.93055555555555</v>
      </c>
      <c r="X98">
        <v>915152860.10000002</v>
      </c>
    </row>
    <row r="99" spans="1:24" x14ac:dyDescent="0.3">
      <c r="A99" s="7">
        <v>43497</v>
      </c>
      <c r="B99" s="5">
        <v>969629900.10000002</v>
      </c>
      <c r="C99" s="1">
        <v>114.87</v>
      </c>
      <c r="D99" s="1">
        <v>889.46</v>
      </c>
      <c r="E99" s="1">
        <v>899.83</v>
      </c>
      <c r="F99" s="1">
        <v>85.61</v>
      </c>
      <c r="G99" s="1">
        <v>107.39</v>
      </c>
      <c r="H99" s="1">
        <v>31700</v>
      </c>
      <c r="I99" s="1">
        <v>952650.64</v>
      </c>
      <c r="J99" s="1">
        <v>777865.75</v>
      </c>
      <c r="K99" s="1">
        <v>104.21</v>
      </c>
      <c r="L99" s="1">
        <v>0.91214731299999996</v>
      </c>
      <c r="M99" s="1">
        <v>1182453.32</v>
      </c>
      <c r="N99" s="1">
        <v>594884.03</v>
      </c>
      <c r="O99" s="1">
        <v>390944.44</v>
      </c>
      <c r="P99" s="1">
        <v>49.76</v>
      </c>
      <c r="Q99" s="1">
        <v>810958.72</v>
      </c>
      <c r="R99" s="1">
        <v>2759.46</v>
      </c>
      <c r="S99" s="14">
        <f t="shared" si="6"/>
        <v>986239114.58554316</v>
      </c>
      <c r="T99" s="14">
        <f t="shared" si="7"/>
        <v>-16609214.485543132</v>
      </c>
      <c r="W99">
        <v>40.625</v>
      </c>
      <c r="X99">
        <v>918238567.29999995</v>
      </c>
    </row>
    <row r="100" spans="1:24" x14ac:dyDescent="0.3">
      <c r="A100" s="7">
        <v>43525</v>
      </c>
      <c r="B100" s="5">
        <v>1048651003</v>
      </c>
      <c r="C100" s="1">
        <v>114.38</v>
      </c>
      <c r="D100" s="1">
        <v>821.04</v>
      </c>
      <c r="E100" s="1">
        <v>766.92</v>
      </c>
      <c r="F100" s="1">
        <v>104.24</v>
      </c>
      <c r="G100" s="1">
        <v>107.39</v>
      </c>
      <c r="H100" s="1">
        <v>31700</v>
      </c>
      <c r="I100" s="1">
        <v>1516780.44</v>
      </c>
      <c r="J100" s="1">
        <v>1131473.46</v>
      </c>
      <c r="K100" s="1">
        <v>105.58</v>
      </c>
      <c r="L100" s="1">
        <v>0.91214731299999996</v>
      </c>
      <c r="M100" s="1">
        <v>1397370.03</v>
      </c>
      <c r="N100" s="1">
        <v>1419602.7</v>
      </c>
      <c r="O100" s="1">
        <v>1083532.5</v>
      </c>
      <c r="P100" s="1">
        <v>58.19</v>
      </c>
      <c r="Q100" s="1">
        <v>1063740.29</v>
      </c>
      <c r="R100" s="1">
        <v>5067.7700000000004</v>
      </c>
      <c r="S100" s="14">
        <f t="shared" si="6"/>
        <v>1133216652.1090465</v>
      </c>
      <c r="T100" s="14">
        <f t="shared" si="7"/>
        <v>-84565649.109046459</v>
      </c>
      <c r="W100">
        <v>41.319444444444443</v>
      </c>
      <c r="X100">
        <v>921410623.10000002</v>
      </c>
    </row>
    <row r="101" spans="1:24" x14ac:dyDescent="0.3">
      <c r="A101" s="7">
        <v>43556</v>
      </c>
      <c r="B101" s="5">
        <v>1072985548</v>
      </c>
      <c r="C101" s="1">
        <v>115.24</v>
      </c>
      <c r="D101" s="1">
        <v>800.54</v>
      </c>
      <c r="E101" s="1">
        <v>780.23</v>
      </c>
      <c r="F101" s="1">
        <v>103.68</v>
      </c>
      <c r="G101" s="1">
        <v>108.07</v>
      </c>
      <c r="H101" s="1">
        <v>30600</v>
      </c>
      <c r="I101" s="1">
        <v>1316974.19</v>
      </c>
      <c r="J101" s="1">
        <v>913028.95</v>
      </c>
      <c r="K101" s="1">
        <v>105.21</v>
      </c>
      <c r="L101" s="1">
        <v>0.91214731299999996</v>
      </c>
      <c r="M101" s="1">
        <v>1168381.8500000001</v>
      </c>
      <c r="N101" s="1">
        <v>1301376.94</v>
      </c>
      <c r="O101" s="1">
        <v>839161.5</v>
      </c>
      <c r="P101" s="1">
        <v>63.86</v>
      </c>
      <c r="Q101" s="1">
        <v>950025.1</v>
      </c>
      <c r="R101" s="1">
        <v>3561.84</v>
      </c>
      <c r="S101" s="14">
        <f t="shared" si="6"/>
        <v>994683548.06972122</v>
      </c>
      <c r="T101" s="14">
        <f t="shared" si="7"/>
        <v>78301999.930278778</v>
      </c>
      <c r="W101">
        <v>42.013888888888893</v>
      </c>
      <c r="X101">
        <v>922912817</v>
      </c>
    </row>
    <row r="102" spans="1:24" x14ac:dyDescent="0.3">
      <c r="A102" s="7">
        <v>43586</v>
      </c>
      <c r="B102" s="5">
        <v>1130996192</v>
      </c>
      <c r="C102" s="1">
        <v>115.58</v>
      </c>
      <c r="D102" s="1">
        <v>798.3</v>
      </c>
      <c r="E102" s="1">
        <v>756.88</v>
      </c>
      <c r="F102" s="1">
        <v>108.55</v>
      </c>
      <c r="G102" s="1">
        <v>107.06</v>
      </c>
      <c r="H102" s="1">
        <v>33000</v>
      </c>
      <c r="I102" s="1">
        <v>1268666.44</v>
      </c>
      <c r="J102" s="1">
        <v>1141784.8700000001</v>
      </c>
      <c r="K102" s="1">
        <v>105.82</v>
      </c>
      <c r="L102" s="1">
        <v>1.044546159</v>
      </c>
      <c r="M102" s="1">
        <v>1048875.3899999999</v>
      </c>
      <c r="N102" s="1">
        <v>1145426.46</v>
      </c>
      <c r="O102" s="1">
        <v>1030739.71</v>
      </c>
      <c r="P102" s="1">
        <v>60.87</v>
      </c>
      <c r="Q102" s="1">
        <v>1022210.5600000001</v>
      </c>
      <c r="R102" s="1">
        <v>3320.79</v>
      </c>
      <c r="S102" s="14">
        <f t="shared" si="6"/>
        <v>1070320502.9108901</v>
      </c>
      <c r="T102" s="14">
        <f t="shared" si="7"/>
        <v>60675689.089109898</v>
      </c>
      <c r="W102">
        <v>42.708333333333329</v>
      </c>
      <c r="X102">
        <v>925917386.20000005</v>
      </c>
    </row>
    <row r="103" spans="1:24" x14ac:dyDescent="0.3">
      <c r="A103" s="7">
        <v>43617</v>
      </c>
      <c r="B103" s="5">
        <v>1196575714</v>
      </c>
      <c r="C103" s="1">
        <v>116.04</v>
      </c>
      <c r="D103" s="1">
        <v>815.14</v>
      </c>
      <c r="E103" s="1">
        <v>781.09</v>
      </c>
      <c r="F103" s="1">
        <v>106.69</v>
      </c>
      <c r="G103" s="1">
        <v>108.52</v>
      </c>
      <c r="H103" s="1">
        <v>33900</v>
      </c>
      <c r="I103" s="1">
        <v>1364771.74</v>
      </c>
      <c r="J103" s="1">
        <v>1070663.2</v>
      </c>
      <c r="K103" s="1">
        <v>105.83</v>
      </c>
      <c r="L103" s="1">
        <v>1.044546159</v>
      </c>
      <c r="M103" s="1">
        <v>1213076.55</v>
      </c>
      <c r="N103" s="1">
        <v>1168624.04</v>
      </c>
      <c r="O103" s="1">
        <v>900922.23</v>
      </c>
      <c r="P103" s="1">
        <v>54.72</v>
      </c>
      <c r="Q103" s="1">
        <v>1003668.25</v>
      </c>
      <c r="R103" s="1">
        <v>4545.04</v>
      </c>
      <c r="S103" s="14">
        <f t="shared" si="6"/>
        <v>1175609940.4973397</v>
      </c>
      <c r="T103" s="14">
        <f t="shared" si="7"/>
        <v>20965773.502660275</v>
      </c>
      <c r="W103">
        <v>43.402777777777779</v>
      </c>
      <c r="X103">
        <v>930726495.20000005</v>
      </c>
    </row>
    <row r="104" spans="1:24" x14ac:dyDescent="0.3">
      <c r="A104" s="7">
        <v>43647</v>
      </c>
      <c r="B104" s="5">
        <v>1162746019</v>
      </c>
      <c r="C104" s="1">
        <v>117.54</v>
      </c>
      <c r="D104" s="1">
        <v>815.66</v>
      </c>
      <c r="E104" s="1">
        <v>800.84</v>
      </c>
      <c r="F104" s="1">
        <v>113.73</v>
      </c>
      <c r="G104" s="1">
        <v>108.41</v>
      </c>
      <c r="H104" s="1">
        <v>33100</v>
      </c>
      <c r="I104" s="1">
        <v>1182560.07</v>
      </c>
      <c r="J104" s="1">
        <v>981332.81</v>
      </c>
      <c r="K104" s="1">
        <v>106.48</v>
      </c>
      <c r="L104" s="1">
        <v>1.044546159</v>
      </c>
      <c r="M104" s="1">
        <v>1226661</v>
      </c>
      <c r="N104" s="1">
        <v>1304920.48</v>
      </c>
      <c r="O104" s="1">
        <v>974583.58</v>
      </c>
      <c r="P104" s="1">
        <v>54.52</v>
      </c>
      <c r="Q104" s="1">
        <v>981038.04</v>
      </c>
      <c r="R104" s="1">
        <v>3589.28</v>
      </c>
      <c r="S104" s="14">
        <f t="shared" si="6"/>
        <v>1119135683.6704974</v>
      </c>
      <c r="T104" s="14">
        <f t="shared" si="7"/>
        <v>43610335.329502583</v>
      </c>
      <c r="W104">
        <v>44.097222222222221</v>
      </c>
      <c r="X104">
        <v>931235048</v>
      </c>
    </row>
    <row r="105" spans="1:24" x14ac:dyDescent="0.3">
      <c r="A105" s="7">
        <v>43678</v>
      </c>
      <c r="B105" s="5">
        <v>1112398911</v>
      </c>
      <c r="C105" s="1">
        <v>117.12</v>
      </c>
      <c r="D105" s="1">
        <v>830.18</v>
      </c>
      <c r="E105" s="1">
        <v>819.65</v>
      </c>
      <c r="F105" s="1">
        <v>115.64</v>
      </c>
      <c r="G105" s="1">
        <v>108.52</v>
      </c>
      <c r="H105" s="1">
        <v>33900</v>
      </c>
      <c r="I105" s="1">
        <v>1282698.26</v>
      </c>
      <c r="J105" s="1">
        <v>1056441.54</v>
      </c>
      <c r="K105" s="1">
        <v>107.06</v>
      </c>
      <c r="L105" s="1">
        <v>1.0556461029999999</v>
      </c>
      <c r="M105" s="1">
        <v>1105997.28</v>
      </c>
      <c r="N105" s="1">
        <v>1159373.01</v>
      </c>
      <c r="O105" s="1">
        <v>664231.54</v>
      </c>
      <c r="P105" s="1">
        <v>54.81</v>
      </c>
      <c r="Q105" s="1">
        <v>966825.97</v>
      </c>
      <c r="R105" s="1">
        <v>3596.1</v>
      </c>
      <c r="S105" s="14">
        <f t="shared" si="6"/>
        <v>1128369883.0625806</v>
      </c>
      <c r="T105" s="14">
        <f t="shared" si="7"/>
        <v>-15970972.062580585</v>
      </c>
      <c r="W105">
        <v>44.791666666666657</v>
      </c>
      <c r="X105">
        <v>932364953.10000002</v>
      </c>
    </row>
    <row r="106" spans="1:24" x14ac:dyDescent="0.3">
      <c r="A106" s="7">
        <v>43709</v>
      </c>
      <c r="B106" s="5">
        <v>1121572378</v>
      </c>
      <c r="C106" s="1">
        <v>116.87</v>
      </c>
      <c r="D106" s="1">
        <v>821.04</v>
      </c>
      <c r="E106" s="1">
        <v>764.57</v>
      </c>
      <c r="F106" s="1">
        <v>110.89</v>
      </c>
      <c r="G106" s="1">
        <v>108.63</v>
      </c>
      <c r="H106" s="1">
        <v>34500</v>
      </c>
      <c r="I106" s="1">
        <v>1213079.47</v>
      </c>
      <c r="J106" s="1">
        <v>1089258.28</v>
      </c>
      <c r="K106" s="1">
        <v>105.99</v>
      </c>
      <c r="L106" s="1">
        <v>1.0556461029999999</v>
      </c>
      <c r="M106" s="1">
        <v>1081295.1000000001</v>
      </c>
      <c r="N106" s="1">
        <v>1314279.68</v>
      </c>
      <c r="O106" s="1">
        <v>1271457.33</v>
      </c>
      <c r="P106" s="1">
        <v>56.97</v>
      </c>
      <c r="Q106" s="1">
        <v>884097</v>
      </c>
      <c r="R106" s="1">
        <v>4707.1499999999996</v>
      </c>
      <c r="S106" s="14">
        <f t="shared" si="6"/>
        <v>1178761080.4530501</v>
      </c>
      <c r="T106" s="14">
        <f t="shared" si="7"/>
        <v>-57188702.453050137</v>
      </c>
      <c r="W106">
        <v>45.486111111111107</v>
      </c>
      <c r="X106">
        <v>933792029.20000005</v>
      </c>
    </row>
    <row r="107" spans="1:24" x14ac:dyDescent="0.3">
      <c r="A107" s="7">
        <v>43739</v>
      </c>
      <c r="B107" s="5">
        <v>1097809801</v>
      </c>
      <c r="C107" s="1">
        <v>116.61</v>
      </c>
      <c r="D107" s="1">
        <v>780.26</v>
      </c>
      <c r="E107" s="1">
        <v>733.04</v>
      </c>
      <c r="F107" s="1">
        <v>113.95</v>
      </c>
      <c r="G107" s="1">
        <v>108.41</v>
      </c>
      <c r="H107" s="1">
        <v>38100</v>
      </c>
      <c r="I107" s="1">
        <v>1183711.17</v>
      </c>
      <c r="J107" s="1">
        <v>1055413.98</v>
      </c>
      <c r="K107" s="1">
        <v>105.95</v>
      </c>
      <c r="L107" s="1">
        <v>1.0556461029999999</v>
      </c>
      <c r="M107" s="1">
        <v>1162959.55</v>
      </c>
      <c r="N107" s="1">
        <v>1213463.97</v>
      </c>
      <c r="O107" s="1">
        <v>787062.52</v>
      </c>
      <c r="P107" s="1">
        <v>54.02</v>
      </c>
      <c r="Q107" s="1">
        <v>961850.6</v>
      </c>
      <c r="R107" s="1">
        <v>4423.75</v>
      </c>
      <c r="S107" s="14">
        <f t="shared" si="6"/>
        <v>1083629282.7889657</v>
      </c>
      <c r="T107" s="14">
        <f t="shared" si="7"/>
        <v>14180518.211034298</v>
      </c>
      <c r="W107">
        <v>46.18055555555555</v>
      </c>
      <c r="X107">
        <v>936327803.29999995</v>
      </c>
    </row>
    <row r="108" spans="1:24" x14ac:dyDescent="0.3">
      <c r="A108" s="7">
        <v>43770</v>
      </c>
      <c r="B108" s="5">
        <v>1120793497</v>
      </c>
      <c r="C108" s="1">
        <v>114.15</v>
      </c>
      <c r="D108" s="1">
        <v>825.57</v>
      </c>
      <c r="E108" s="1">
        <v>819.63</v>
      </c>
      <c r="F108" s="1">
        <v>114.06</v>
      </c>
      <c r="G108" s="1">
        <v>108.74</v>
      </c>
      <c r="H108" s="1">
        <v>38100</v>
      </c>
      <c r="I108" s="1">
        <v>1109687.1000000001</v>
      </c>
      <c r="J108" s="1">
        <v>1071368.3</v>
      </c>
      <c r="K108" s="1">
        <v>106.41</v>
      </c>
      <c r="L108" s="1">
        <v>0.98766042499999995</v>
      </c>
      <c r="M108" s="1">
        <v>1094815.8899999999</v>
      </c>
      <c r="N108" s="1">
        <v>1115236.58</v>
      </c>
      <c r="O108" s="1">
        <v>1122176.0900000001</v>
      </c>
      <c r="P108" s="1">
        <v>57.11</v>
      </c>
      <c r="Q108" s="1">
        <v>970248.3</v>
      </c>
      <c r="R108" s="1">
        <v>4910.25</v>
      </c>
      <c r="S108" s="14">
        <f t="shared" si="6"/>
        <v>1079120321.0563245</v>
      </c>
      <c r="T108" s="14">
        <f t="shared" si="7"/>
        <v>41673175.943675518</v>
      </c>
      <c r="W108">
        <v>46.875</v>
      </c>
      <c r="X108">
        <v>937774259.60000002</v>
      </c>
    </row>
    <row r="109" spans="1:24" x14ac:dyDescent="0.3">
      <c r="A109" s="7">
        <v>43800</v>
      </c>
      <c r="B109" s="5">
        <v>1139698269</v>
      </c>
      <c r="C109" s="1">
        <v>113.29</v>
      </c>
      <c r="D109" s="1">
        <v>845.46</v>
      </c>
      <c r="E109" s="1">
        <v>892.64</v>
      </c>
      <c r="F109" s="1">
        <v>117.44</v>
      </c>
      <c r="G109" s="1">
        <v>109.31</v>
      </c>
      <c r="H109" s="1">
        <v>38800</v>
      </c>
      <c r="I109" s="1">
        <v>1287722.03</v>
      </c>
      <c r="J109" s="1">
        <v>1080400.3400000001</v>
      </c>
      <c r="K109" s="1">
        <v>106.25</v>
      </c>
      <c r="L109" s="1">
        <v>0.98766042499999995</v>
      </c>
      <c r="M109" s="1">
        <v>1124845.45</v>
      </c>
      <c r="N109" s="1">
        <v>1266849.7</v>
      </c>
      <c r="O109" s="1">
        <v>828100.62</v>
      </c>
      <c r="P109" s="1">
        <v>59.86</v>
      </c>
      <c r="Q109" s="1">
        <v>954158.91</v>
      </c>
      <c r="R109" s="1">
        <v>6392.72</v>
      </c>
      <c r="S109" s="14">
        <f t="shared" si="6"/>
        <v>1142437816.0193658</v>
      </c>
      <c r="T109" s="14">
        <f t="shared" si="7"/>
        <v>-2739547.0193657875</v>
      </c>
      <c r="W109">
        <v>47.569444444444443</v>
      </c>
      <c r="X109">
        <v>943162982.5</v>
      </c>
    </row>
    <row r="110" spans="1:24" x14ac:dyDescent="0.3">
      <c r="A110" s="7">
        <v>43831</v>
      </c>
      <c r="B110" s="5">
        <v>1241487968</v>
      </c>
      <c r="C110" s="1">
        <v>114.08</v>
      </c>
      <c r="D110" s="1">
        <v>955.75</v>
      </c>
      <c r="E110" s="1">
        <v>990.68</v>
      </c>
      <c r="F110" s="1">
        <v>105.55</v>
      </c>
      <c r="G110" s="1">
        <v>109.64</v>
      </c>
      <c r="H110" s="1">
        <v>26600</v>
      </c>
      <c r="I110" s="1">
        <v>1145476.6599999999</v>
      </c>
      <c r="J110" s="1">
        <v>943827.74</v>
      </c>
      <c r="K110" s="1">
        <v>105.86</v>
      </c>
      <c r="L110" s="1">
        <v>0.98766042499999995</v>
      </c>
      <c r="M110" s="1">
        <v>1247394.6399999999</v>
      </c>
      <c r="N110" s="1">
        <v>1133334.6599999999</v>
      </c>
      <c r="O110" s="1">
        <v>741334.63</v>
      </c>
      <c r="P110" s="1">
        <v>57.53</v>
      </c>
      <c r="Q110" s="1">
        <v>781393.5</v>
      </c>
      <c r="R110" s="1">
        <v>3992.43</v>
      </c>
      <c r="S110" s="14">
        <f t="shared" si="6"/>
        <v>1134902575.4744048</v>
      </c>
      <c r="T110" s="14">
        <f t="shared" si="7"/>
        <v>106585392.52559519</v>
      </c>
      <c r="W110">
        <v>48.263888888888893</v>
      </c>
      <c r="X110">
        <v>947114792.79999995</v>
      </c>
    </row>
    <row r="111" spans="1:24" x14ac:dyDescent="0.3">
      <c r="A111" s="7">
        <v>43862</v>
      </c>
      <c r="B111" s="5">
        <v>915152860.10000002</v>
      </c>
      <c r="C111" s="1">
        <v>106.68</v>
      </c>
      <c r="D111" s="1">
        <v>928.35</v>
      </c>
      <c r="E111" s="1">
        <v>899.15</v>
      </c>
      <c r="F111" s="1">
        <v>103.74</v>
      </c>
      <c r="G111" s="1">
        <v>110.09</v>
      </c>
      <c r="H111" s="1">
        <v>25000</v>
      </c>
      <c r="I111" s="1">
        <v>1213156.45</v>
      </c>
      <c r="J111" s="1">
        <v>997172.25</v>
      </c>
      <c r="K111" s="1">
        <v>105.8</v>
      </c>
      <c r="L111" s="1">
        <v>0.91214731299999996</v>
      </c>
      <c r="M111" s="1">
        <v>1120276.3500000001</v>
      </c>
      <c r="N111" s="1">
        <v>1210373.24</v>
      </c>
      <c r="O111" s="1">
        <v>919459.86</v>
      </c>
      <c r="P111" s="1">
        <v>50.56</v>
      </c>
      <c r="Q111" s="1">
        <v>892708.31</v>
      </c>
      <c r="R111" s="1">
        <v>3801.38</v>
      </c>
      <c r="S111" s="14">
        <f t="shared" si="6"/>
        <v>978715871.62049389</v>
      </c>
      <c r="T111" s="14">
        <f t="shared" si="7"/>
        <v>-63563011.520493865</v>
      </c>
      <c r="W111">
        <v>48.958333333333329</v>
      </c>
      <c r="X111">
        <v>947372879.70000005</v>
      </c>
    </row>
    <row r="112" spans="1:24" x14ac:dyDescent="0.3">
      <c r="A112" s="7">
        <v>43891</v>
      </c>
      <c r="B112" s="5">
        <v>1031178712</v>
      </c>
      <c r="C112" s="1">
        <v>108.36</v>
      </c>
      <c r="D112" s="1">
        <v>898.07</v>
      </c>
      <c r="E112" s="1">
        <v>893.93</v>
      </c>
      <c r="F112" s="1">
        <v>116.58</v>
      </c>
      <c r="G112" s="1">
        <v>97.95</v>
      </c>
      <c r="H112" s="1">
        <v>26400</v>
      </c>
      <c r="I112" s="1">
        <v>1312810.07</v>
      </c>
      <c r="J112" s="1">
        <v>1211868.83</v>
      </c>
      <c r="K112" s="1">
        <v>99.95</v>
      </c>
      <c r="L112" s="1">
        <v>0.91214731299999996</v>
      </c>
      <c r="M112" s="1">
        <v>1148627.72</v>
      </c>
      <c r="N112" s="1">
        <v>1480290.62</v>
      </c>
      <c r="O112" s="1">
        <v>855197.15</v>
      </c>
      <c r="P112" s="1">
        <v>30.64</v>
      </c>
      <c r="Q112" s="1">
        <v>994993.17</v>
      </c>
      <c r="R112" s="1">
        <v>4446.3999999999996</v>
      </c>
      <c r="S112" s="14">
        <f t="shared" si="6"/>
        <v>1013391853.615715</v>
      </c>
      <c r="T112" s="14">
        <f t="shared" si="7"/>
        <v>17786858.384284973</v>
      </c>
      <c r="W112">
        <v>49.652777777777779</v>
      </c>
      <c r="X112">
        <v>950975052.5</v>
      </c>
    </row>
    <row r="113" spans="1:24" x14ac:dyDescent="0.3">
      <c r="A113" s="7">
        <v>43922</v>
      </c>
      <c r="B113" s="5">
        <v>1005077969</v>
      </c>
      <c r="C113" s="1">
        <v>106.83</v>
      </c>
      <c r="D113" s="1">
        <v>885.23</v>
      </c>
      <c r="E113" s="1">
        <v>848.56</v>
      </c>
      <c r="F113" s="1">
        <v>108.03</v>
      </c>
      <c r="G113" s="1">
        <v>86.81</v>
      </c>
      <c r="H113" s="1">
        <v>28200</v>
      </c>
      <c r="I113" s="1">
        <v>1044665.49</v>
      </c>
      <c r="J113" s="1">
        <v>1022226.69</v>
      </c>
      <c r="K113" s="1">
        <v>88.47</v>
      </c>
      <c r="L113" s="1">
        <v>0.91214731299999996</v>
      </c>
      <c r="M113" s="1">
        <v>1022197.79</v>
      </c>
      <c r="N113" s="1">
        <v>1170215.67</v>
      </c>
      <c r="O113" s="1">
        <v>929748.27</v>
      </c>
      <c r="P113" s="1">
        <v>19.8</v>
      </c>
      <c r="Q113" s="1">
        <v>864208.41</v>
      </c>
      <c r="R113" s="1">
        <v>3787.25</v>
      </c>
      <c r="S113" s="14">
        <f t="shared" si="6"/>
        <v>896159916.92499924</v>
      </c>
      <c r="T113" s="14">
        <f t="shared" si="7"/>
        <v>108918052.07500076</v>
      </c>
      <c r="W113">
        <v>50.347222222222221</v>
      </c>
      <c r="X113">
        <v>953423947.39999998</v>
      </c>
    </row>
    <row r="114" spans="1:24" x14ac:dyDescent="0.3">
      <c r="A114" s="7">
        <v>43952</v>
      </c>
      <c r="B114" s="5">
        <v>983481490.10000002</v>
      </c>
      <c r="C114" s="1">
        <v>105.51</v>
      </c>
      <c r="D114" s="1">
        <v>836.64</v>
      </c>
      <c r="E114" s="1">
        <v>854.08</v>
      </c>
      <c r="F114" s="1">
        <v>110.37</v>
      </c>
      <c r="G114" s="1">
        <v>103.68</v>
      </c>
      <c r="H114" s="1">
        <v>32000</v>
      </c>
      <c r="I114" s="1">
        <v>1064702.8400000001</v>
      </c>
      <c r="J114" s="1">
        <v>1054678.95</v>
      </c>
      <c r="K114" s="1">
        <v>104.25</v>
      </c>
      <c r="L114" s="1">
        <v>1.044546159</v>
      </c>
      <c r="M114" s="1">
        <v>1072505.6000000001</v>
      </c>
      <c r="N114" s="1">
        <v>1127503.17</v>
      </c>
      <c r="O114" s="1">
        <v>748520.56</v>
      </c>
      <c r="P114" s="1">
        <v>28.62</v>
      </c>
      <c r="Q114" s="1">
        <v>916315.46</v>
      </c>
      <c r="R114" s="1">
        <v>3808.04</v>
      </c>
      <c r="S114" s="14">
        <f t="shared" si="6"/>
        <v>921647302.50548506</v>
      </c>
      <c r="T114" s="14">
        <f t="shared" si="7"/>
        <v>61834187.594514966</v>
      </c>
      <c r="W114">
        <v>51.041666666666657</v>
      </c>
      <c r="X114">
        <v>955855309.39999998</v>
      </c>
    </row>
    <row r="115" spans="1:24" x14ac:dyDescent="0.3">
      <c r="A115" s="7">
        <v>43983</v>
      </c>
      <c r="B115" s="5">
        <v>1083944239</v>
      </c>
      <c r="C115" s="1">
        <v>108.84</v>
      </c>
      <c r="D115" s="1">
        <v>841.51</v>
      </c>
      <c r="E115" s="1">
        <v>995.08</v>
      </c>
      <c r="F115" s="1">
        <v>114.3</v>
      </c>
      <c r="G115" s="1">
        <v>109.42</v>
      </c>
      <c r="H115" s="1">
        <v>33500</v>
      </c>
      <c r="I115" s="1">
        <v>1060912.56</v>
      </c>
      <c r="J115" s="1">
        <v>1020847.12</v>
      </c>
      <c r="K115" s="1">
        <v>110.78</v>
      </c>
      <c r="L115" s="1">
        <v>1.044546159</v>
      </c>
      <c r="M115" s="1">
        <v>1102871.97</v>
      </c>
      <c r="N115" s="1">
        <v>1218201.68</v>
      </c>
      <c r="O115" s="1">
        <v>899379.12</v>
      </c>
      <c r="P115" s="1">
        <v>38.31</v>
      </c>
      <c r="Q115" s="1">
        <v>887497.69</v>
      </c>
      <c r="R115" s="1">
        <v>4421.1499999999996</v>
      </c>
      <c r="S115" s="14">
        <f t="shared" si="6"/>
        <v>1015785184.9764147</v>
      </c>
      <c r="T115" s="14">
        <f t="shared" si="7"/>
        <v>68159054.02358532</v>
      </c>
      <c r="W115">
        <v>51.736111111111107</v>
      </c>
      <c r="X115">
        <v>959370275.39999998</v>
      </c>
    </row>
    <row r="116" spans="1:24" x14ac:dyDescent="0.3">
      <c r="A116" s="7">
        <v>44013</v>
      </c>
      <c r="B116" s="5">
        <v>1197942563</v>
      </c>
      <c r="C116" s="1">
        <v>116.55</v>
      </c>
      <c r="D116" s="1">
        <v>864.72</v>
      </c>
      <c r="E116" s="1">
        <v>1035.6099999999999</v>
      </c>
      <c r="F116" s="1">
        <v>117.07</v>
      </c>
      <c r="G116" s="1">
        <v>109.08</v>
      </c>
      <c r="H116" s="1">
        <v>32200</v>
      </c>
      <c r="I116" s="1">
        <v>1050984.23</v>
      </c>
      <c r="J116" s="1">
        <v>997635.27</v>
      </c>
      <c r="K116" s="1">
        <v>111.69</v>
      </c>
      <c r="L116" s="1">
        <v>1.044546159</v>
      </c>
      <c r="M116" s="1">
        <v>1043135.73</v>
      </c>
      <c r="N116" s="1">
        <v>1431311.31</v>
      </c>
      <c r="O116" s="1">
        <v>783218.96</v>
      </c>
      <c r="P116" s="1">
        <v>40.75</v>
      </c>
      <c r="Q116" s="1">
        <v>984125.08</v>
      </c>
      <c r="R116" s="1">
        <v>4095.9</v>
      </c>
      <c r="S116" s="14">
        <f t="shared" si="6"/>
        <v>1166437125.3047423</v>
      </c>
      <c r="T116" s="14">
        <f t="shared" si="7"/>
        <v>31505437.695257664</v>
      </c>
      <c r="W116">
        <v>52.43055555555555</v>
      </c>
      <c r="X116">
        <v>969224748.10000002</v>
      </c>
    </row>
    <row r="117" spans="1:24" x14ac:dyDescent="0.3">
      <c r="A117" s="7">
        <v>44044</v>
      </c>
      <c r="B117" s="5">
        <v>1302785576</v>
      </c>
      <c r="C117" s="1">
        <v>116.63</v>
      </c>
      <c r="D117" s="1">
        <v>883</v>
      </c>
      <c r="E117" s="1">
        <v>1175.81</v>
      </c>
      <c r="F117" s="1">
        <v>120.3</v>
      </c>
      <c r="G117" s="1">
        <v>112.9</v>
      </c>
      <c r="H117" s="1">
        <v>33600</v>
      </c>
      <c r="I117" s="1">
        <v>1187231.05</v>
      </c>
      <c r="J117" s="1">
        <v>1060912.72</v>
      </c>
      <c r="K117" s="1">
        <v>111.76</v>
      </c>
      <c r="L117" s="1">
        <v>1.0556461029999999</v>
      </c>
      <c r="M117" s="1">
        <v>1057691.3700000001</v>
      </c>
      <c r="N117" s="1">
        <v>1484801.76</v>
      </c>
      <c r="O117" s="1">
        <v>1068039.73</v>
      </c>
      <c r="P117" s="1">
        <v>43.25</v>
      </c>
      <c r="Q117" s="1">
        <v>973053.04</v>
      </c>
      <c r="R117" s="1">
        <v>4298.7700000000004</v>
      </c>
      <c r="S117" s="14">
        <f t="shared" si="6"/>
        <v>1224825657.1247993</v>
      </c>
      <c r="T117" s="14">
        <f t="shared" si="7"/>
        <v>77959918.875200748</v>
      </c>
      <c r="W117">
        <v>53.125</v>
      </c>
      <c r="X117">
        <v>969604267.20000005</v>
      </c>
    </row>
    <row r="118" spans="1:24" x14ac:dyDescent="0.3">
      <c r="A118" s="7">
        <v>44075</v>
      </c>
      <c r="B118" s="5">
        <v>1361596240</v>
      </c>
      <c r="C118" s="1">
        <v>120.17</v>
      </c>
      <c r="D118" s="1">
        <v>967.46</v>
      </c>
      <c r="E118" s="1">
        <v>1382.31</v>
      </c>
      <c r="F118" s="1">
        <v>123.82</v>
      </c>
      <c r="G118" s="1">
        <v>111.22</v>
      </c>
      <c r="H118" s="1">
        <v>35300</v>
      </c>
      <c r="I118" s="1">
        <v>1195714.6200000001</v>
      </c>
      <c r="J118" s="1">
        <v>1137763.45</v>
      </c>
      <c r="K118" s="1">
        <v>113.58</v>
      </c>
      <c r="L118" s="1">
        <v>1.0556461029999999</v>
      </c>
      <c r="M118" s="1">
        <v>974910.8</v>
      </c>
      <c r="N118" s="1">
        <v>1055406.73</v>
      </c>
      <c r="O118" s="1">
        <v>941834.31</v>
      </c>
      <c r="P118" s="1">
        <v>39.630000000000003</v>
      </c>
      <c r="Q118" s="1">
        <v>935077.98</v>
      </c>
      <c r="R118" s="1">
        <v>4320.87</v>
      </c>
      <c r="S118" s="14">
        <f t="shared" si="6"/>
        <v>1386248237.8728251</v>
      </c>
      <c r="T118" s="14">
        <f t="shared" si="7"/>
        <v>-24651997.872825146</v>
      </c>
      <c r="W118">
        <v>53.819444444444443</v>
      </c>
      <c r="X118">
        <v>969629900.10000002</v>
      </c>
    </row>
    <row r="119" spans="1:24" x14ac:dyDescent="0.3">
      <c r="A119" s="7">
        <v>44105</v>
      </c>
      <c r="B119" s="5">
        <v>1478464989</v>
      </c>
      <c r="C119" s="1">
        <v>124.31</v>
      </c>
      <c r="D119" s="1">
        <v>1053.8</v>
      </c>
      <c r="E119" s="1">
        <v>1448.87</v>
      </c>
      <c r="F119" s="1">
        <v>121.28</v>
      </c>
      <c r="G119" s="1">
        <v>112.9</v>
      </c>
      <c r="H119" s="1">
        <v>38600</v>
      </c>
      <c r="I119" s="1">
        <v>1352660.01</v>
      </c>
      <c r="J119" s="1">
        <v>1023404.11</v>
      </c>
      <c r="K119" s="1">
        <v>113.06</v>
      </c>
      <c r="L119" s="1">
        <v>1.0556461029999999</v>
      </c>
      <c r="M119" s="1">
        <v>1246841.3799999999</v>
      </c>
      <c r="N119" s="1">
        <v>1248770.6599999999</v>
      </c>
      <c r="O119" s="1">
        <v>807790.1</v>
      </c>
      <c r="P119" s="1">
        <v>39.56</v>
      </c>
      <c r="Q119" s="1">
        <v>1056230.23</v>
      </c>
      <c r="R119" s="1">
        <v>4797.3999999999996</v>
      </c>
      <c r="S119" s="14">
        <f t="shared" si="6"/>
        <v>1626534902.4437165</v>
      </c>
      <c r="T119" s="14">
        <f t="shared" si="7"/>
        <v>-148069913.44371653</v>
      </c>
      <c r="W119">
        <v>54.513888888888893</v>
      </c>
      <c r="X119">
        <v>969690342.79999995</v>
      </c>
    </row>
    <row r="120" spans="1:24" x14ac:dyDescent="0.3">
      <c r="A120" s="7">
        <v>44136</v>
      </c>
      <c r="B120" s="5">
        <v>1515601165</v>
      </c>
      <c r="C120" s="1">
        <v>121.46</v>
      </c>
      <c r="D120" s="1">
        <v>1128.19</v>
      </c>
      <c r="E120" s="1">
        <v>1897.82</v>
      </c>
      <c r="F120" s="1">
        <v>122.84</v>
      </c>
      <c r="G120" s="1">
        <v>105.71</v>
      </c>
      <c r="H120" s="1">
        <v>39500</v>
      </c>
      <c r="I120" s="1">
        <v>1244645.45</v>
      </c>
      <c r="J120" s="1">
        <v>1015257.18</v>
      </c>
      <c r="K120" s="1">
        <v>112.24</v>
      </c>
      <c r="L120" s="1">
        <v>0.98766042499999995</v>
      </c>
      <c r="M120" s="1">
        <v>1243552.0900000001</v>
      </c>
      <c r="N120" s="1">
        <v>1022008.13</v>
      </c>
      <c r="O120" s="1">
        <v>771072.82</v>
      </c>
      <c r="P120" s="1">
        <v>41.36</v>
      </c>
      <c r="Q120" s="1">
        <v>1026365.55</v>
      </c>
      <c r="R120" s="1">
        <v>4901.5600000000004</v>
      </c>
      <c r="S120" s="14">
        <f t="shared" si="6"/>
        <v>1570609086.4973111</v>
      </c>
      <c r="T120" s="14">
        <f t="shared" si="7"/>
        <v>-55007921.497311115</v>
      </c>
      <c r="W120">
        <v>55.208333333333329</v>
      </c>
      <c r="X120">
        <v>977854756.89999998</v>
      </c>
    </row>
    <row r="121" spans="1:24" x14ac:dyDescent="0.3">
      <c r="A121" s="7">
        <v>44166</v>
      </c>
      <c r="B121" s="5">
        <v>1859082729</v>
      </c>
      <c r="C121" s="1">
        <v>119.92</v>
      </c>
      <c r="D121" s="1">
        <v>1450.35</v>
      </c>
      <c r="E121" s="1">
        <v>2361.77</v>
      </c>
      <c r="F121" s="1">
        <v>129.49</v>
      </c>
      <c r="G121" s="1">
        <v>110.32</v>
      </c>
      <c r="H121" s="1">
        <v>40600</v>
      </c>
      <c r="I121" s="1">
        <v>1218404.1200000001</v>
      </c>
      <c r="J121" s="1">
        <v>1125137.96</v>
      </c>
      <c r="K121" s="1">
        <v>113.65</v>
      </c>
      <c r="L121" s="1">
        <v>0.98766042499999995</v>
      </c>
      <c r="M121" s="1">
        <v>1095971.57</v>
      </c>
      <c r="N121" s="1">
        <v>974929.32</v>
      </c>
      <c r="O121" s="1">
        <v>964664.98</v>
      </c>
      <c r="P121" s="1">
        <v>47.28</v>
      </c>
      <c r="Q121" s="1">
        <v>1010670.58</v>
      </c>
      <c r="R121" s="1">
        <v>5969.75</v>
      </c>
      <c r="S121" s="14">
        <f t="shared" si="6"/>
        <v>1918118623.772367</v>
      </c>
      <c r="T121" s="14">
        <f t="shared" si="7"/>
        <v>-59035894.772367001</v>
      </c>
      <c r="W121">
        <v>55.902777777777779</v>
      </c>
      <c r="X121">
        <v>983481490.10000002</v>
      </c>
    </row>
    <row r="122" spans="1:24" x14ac:dyDescent="0.3">
      <c r="A122" s="7">
        <v>44197</v>
      </c>
      <c r="B122" s="5">
        <v>2195700749</v>
      </c>
      <c r="C122" s="1">
        <v>121.87</v>
      </c>
      <c r="D122" s="1">
        <v>1863.84</v>
      </c>
      <c r="E122" s="1">
        <v>2868.95</v>
      </c>
      <c r="F122" s="1">
        <v>125.62</v>
      </c>
      <c r="G122" s="1">
        <v>104.02</v>
      </c>
      <c r="H122" s="1">
        <v>35600</v>
      </c>
      <c r="I122" s="1">
        <v>1306754.3500000001</v>
      </c>
      <c r="J122" s="1">
        <v>1173197.06</v>
      </c>
      <c r="K122" s="1">
        <v>117.09</v>
      </c>
      <c r="L122" s="1">
        <v>0.98766042499999995</v>
      </c>
      <c r="M122" s="1">
        <v>1360598.46</v>
      </c>
      <c r="N122" s="1">
        <v>1144695.17</v>
      </c>
      <c r="O122" s="1">
        <v>838965.64</v>
      </c>
      <c r="P122" s="1">
        <v>52.1</v>
      </c>
      <c r="Q122" s="1">
        <v>1038603.34</v>
      </c>
      <c r="R122" s="1">
        <v>4766.33</v>
      </c>
      <c r="S122" s="14">
        <f t="shared" si="6"/>
        <v>2379131832.6938825</v>
      </c>
      <c r="T122" s="14">
        <f t="shared" si="7"/>
        <v>-183431083.69388247</v>
      </c>
      <c r="W122">
        <v>56.597222222222221</v>
      </c>
      <c r="X122">
        <v>986033698.20000005</v>
      </c>
    </row>
    <row r="123" spans="1:24" x14ac:dyDescent="0.3">
      <c r="A123" s="7">
        <v>44228</v>
      </c>
      <c r="B123" s="5">
        <v>2212407266</v>
      </c>
      <c r="C123" s="1">
        <v>121.51</v>
      </c>
      <c r="D123" s="1">
        <v>2060.89</v>
      </c>
      <c r="E123" s="1">
        <v>2850.84</v>
      </c>
      <c r="F123" s="1">
        <v>106.36</v>
      </c>
      <c r="G123" s="1">
        <v>107.96</v>
      </c>
      <c r="H123" s="1">
        <v>33500</v>
      </c>
      <c r="I123" s="1">
        <v>1011408.65</v>
      </c>
      <c r="J123" s="1">
        <v>970657.94</v>
      </c>
      <c r="K123" s="1">
        <v>113.6</v>
      </c>
      <c r="L123" s="1">
        <v>0.91214731299999996</v>
      </c>
      <c r="M123" s="1">
        <v>1219871.51</v>
      </c>
      <c r="N123" s="1">
        <v>1124024.06</v>
      </c>
      <c r="O123" s="1">
        <v>637809.9</v>
      </c>
      <c r="P123" s="1">
        <v>59.06</v>
      </c>
      <c r="Q123" s="1">
        <v>885632.92</v>
      </c>
      <c r="R123" s="1">
        <v>4512.6000000000004</v>
      </c>
      <c r="S123" s="14">
        <f t="shared" si="6"/>
        <v>2453650335.5481286</v>
      </c>
      <c r="T123" s="14">
        <f t="shared" si="7"/>
        <v>-241243069.5481286</v>
      </c>
      <c r="W123">
        <v>57.291666666666657</v>
      </c>
      <c r="X123">
        <v>989032370.89999998</v>
      </c>
    </row>
    <row r="124" spans="1:24" x14ac:dyDescent="0.3">
      <c r="A124" s="7">
        <v>44256</v>
      </c>
      <c r="B124" s="5">
        <v>2326526933</v>
      </c>
      <c r="C124" s="1">
        <v>123.2</v>
      </c>
      <c r="D124" s="1">
        <v>1910.11</v>
      </c>
      <c r="E124" s="1">
        <v>2610.6999999999998</v>
      </c>
      <c r="F124" s="1">
        <v>135.33000000000001</v>
      </c>
      <c r="G124" s="1">
        <v>111.78</v>
      </c>
      <c r="H124" s="1">
        <v>35500</v>
      </c>
      <c r="I124" s="1">
        <v>1264217.43</v>
      </c>
      <c r="J124" s="1">
        <v>1255934.21</v>
      </c>
      <c r="K124" s="1">
        <v>125.02</v>
      </c>
      <c r="L124" s="1">
        <v>0.91214731299999996</v>
      </c>
      <c r="M124" s="1">
        <v>1272344.8400000001</v>
      </c>
      <c r="N124" s="1">
        <v>1685851</v>
      </c>
      <c r="O124" s="1">
        <v>1033937.5</v>
      </c>
      <c r="P124" s="1">
        <v>62.35</v>
      </c>
      <c r="Q124" s="1">
        <v>1133757.53</v>
      </c>
      <c r="R124" s="1">
        <v>6043.22</v>
      </c>
      <c r="S124" s="14">
        <f t="shared" si="6"/>
        <v>2483001239.3440776</v>
      </c>
      <c r="T124" s="14">
        <f t="shared" si="7"/>
        <v>-156474306.34407759</v>
      </c>
      <c r="W124">
        <v>57.986111111111107</v>
      </c>
      <c r="X124">
        <v>992656608.70000005</v>
      </c>
    </row>
    <row r="125" spans="1:24" x14ac:dyDescent="0.3">
      <c r="A125" s="7">
        <v>44287</v>
      </c>
      <c r="B125" s="5">
        <v>2278603143</v>
      </c>
      <c r="C125" s="1">
        <v>123.44</v>
      </c>
      <c r="D125" s="1">
        <v>1871.78</v>
      </c>
      <c r="E125" s="1">
        <v>2833.42</v>
      </c>
      <c r="F125" s="1">
        <v>123.32</v>
      </c>
      <c r="G125" s="1">
        <v>108.18</v>
      </c>
      <c r="H125" s="1">
        <v>33200</v>
      </c>
      <c r="I125" s="1">
        <v>1208846.24</v>
      </c>
      <c r="J125" s="1">
        <v>1017103.2</v>
      </c>
      <c r="K125" s="1">
        <v>124.97</v>
      </c>
      <c r="L125" s="1">
        <v>0.91214731299999996</v>
      </c>
      <c r="M125" s="1">
        <v>1238893.1599999999</v>
      </c>
      <c r="N125" s="1">
        <v>1312550.42</v>
      </c>
      <c r="O125" s="1">
        <v>865271.06</v>
      </c>
      <c r="P125" s="1">
        <v>61.71</v>
      </c>
      <c r="Q125" s="1">
        <v>995685.42</v>
      </c>
      <c r="R125" s="1">
        <v>5264.08</v>
      </c>
      <c r="S125" s="14">
        <f t="shared" si="6"/>
        <v>2409917992.6394963</v>
      </c>
      <c r="T125" s="14">
        <f t="shared" si="7"/>
        <v>-131314849.63949633</v>
      </c>
      <c r="W125">
        <v>58.68055555555555</v>
      </c>
      <c r="X125">
        <v>994093092.79999995</v>
      </c>
    </row>
    <row r="126" spans="1:24" x14ac:dyDescent="0.3">
      <c r="A126" s="7">
        <v>44317</v>
      </c>
      <c r="B126" s="5">
        <v>2638482576</v>
      </c>
      <c r="C126" s="1">
        <v>123.29</v>
      </c>
      <c r="D126" s="1">
        <v>2175.5</v>
      </c>
      <c r="E126" s="1">
        <v>3387.92</v>
      </c>
      <c r="F126" s="1">
        <v>129.04</v>
      </c>
      <c r="G126" s="1">
        <v>113.24</v>
      </c>
      <c r="H126" s="1">
        <v>35900</v>
      </c>
      <c r="I126" s="1">
        <v>1383814.09</v>
      </c>
      <c r="J126" s="1">
        <v>1108996.3799999999</v>
      </c>
      <c r="K126" s="1">
        <v>122.1</v>
      </c>
      <c r="L126" s="1">
        <v>1.044546159</v>
      </c>
      <c r="M126" s="1">
        <v>1196173.03</v>
      </c>
      <c r="N126" s="1">
        <v>1413489.91</v>
      </c>
      <c r="O126" s="1">
        <v>1016366.34</v>
      </c>
      <c r="P126" s="1">
        <v>65.180000000000007</v>
      </c>
      <c r="Q126" s="1">
        <v>1089480.8400000001</v>
      </c>
      <c r="R126" s="1">
        <v>5138.08</v>
      </c>
      <c r="S126" s="14">
        <f t="shared" si="6"/>
        <v>2818497721.0756125</v>
      </c>
      <c r="T126" s="14">
        <f t="shared" si="7"/>
        <v>-180015145.07561255</v>
      </c>
      <c r="W126">
        <v>59.375</v>
      </c>
      <c r="X126">
        <v>1005077969</v>
      </c>
    </row>
    <row r="127" spans="1:24" x14ac:dyDescent="0.3">
      <c r="A127" s="7">
        <v>44348</v>
      </c>
      <c r="B127" s="5">
        <v>2991786668</v>
      </c>
      <c r="C127" s="1">
        <v>122.09</v>
      </c>
      <c r="D127" s="1">
        <v>2484.61</v>
      </c>
      <c r="E127" s="1">
        <v>3726.15</v>
      </c>
      <c r="F127" s="1">
        <v>134.9</v>
      </c>
      <c r="G127" s="1">
        <v>115.83</v>
      </c>
      <c r="H127" s="1">
        <v>37600</v>
      </c>
      <c r="I127" s="1">
        <v>1081110.1599999999</v>
      </c>
      <c r="J127" s="1">
        <v>1141291.93</v>
      </c>
      <c r="K127" s="1">
        <v>121.81</v>
      </c>
      <c r="L127" s="1">
        <v>1.044546159</v>
      </c>
      <c r="M127" s="1">
        <v>1200922.53</v>
      </c>
      <c r="N127" s="1">
        <v>1531154.31</v>
      </c>
      <c r="O127" s="1">
        <v>820051.67</v>
      </c>
      <c r="P127" s="1">
        <v>71.38</v>
      </c>
      <c r="Q127" s="1">
        <v>973025</v>
      </c>
      <c r="R127" s="1">
        <v>5516.62</v>
      </c>
      <c r="S127" s="14">
        <f t="shared" si="6"/>
        <v>3008807856.3567405</v>
      </c>
      <c r="T127" s="14">
        <f t="shared" si="7"/>
        <v>-17021188.356740475</v>
      </c>
      <c r="W127">
        <v>60.069444444444443</v>
      </c>
      <c r="X127">
        <v>1005124306</v>
      </c>
    </row>
    <row r="128" spans="1:24" x14ac:dyDescent="0.3">
      <c r="A128" s="7">
        <v>44378</v>
      </c>
      <c r="B128" s="5">
        <v>3415123138</v>
      </c>
      <c r="C128" s="1">
        <v>121.76</v>
      </c>
      <c r="D128" s="1">
        <v>2771.54</v>
      </c>
      <c r="E128" s="1">
        <v>4054.42</v>
      </c>
      <c r="F128" s="1">
        <v>133.88999999999999</v>
      </c>
      <c r="G128" s="1">
        <v>113.69</v>
      </c>
      <c r="H128" s="1">
        <v>34925.1</v>
      </c>
      <c r="I128" s="1">
        <v>1298453.1100000001</v>
      </c>
      <c r="J128" s="1">
        <v>1051397.94</v>
      </c>
      <c r="K128" s="1">
        <v>118.85</v>
      </c>
      <c r="L128" s="1">
        <v>1.044546159</v>
      </c>
      <c r="M128" s="1">
        <v>1078323.71</v>
      </c>
      <c r="N128" s="1">
        <v>1539824.87</v>
      </c>
      <c r="O128" s="1">
        <v>889221.61</v>
      </c>
      <c r="P128" s="1">
        <v>72.459999999999994</v>
      </c>
      <c r="Q128" s="1">
        <v>970534.39</v>
      </c>
      <c r="R128" s="1">
        <v>5838.65</v>
      </c>
      <c r="S128" s="14">
        <f t="shared" si="6"/>
        <v>3399826464.8813167</v>
      </c>
      <c r="T128" s="14">
        <f t="shared" si="7"/>
        <v>15296673.118683338</v>
      </c>
      <c r="W128">
        <v>60.763888888888893</v>
      </c>
      <c r="X128">
        <v>1010183347</v>
      </c>
    </row>
    <row r="129" spans="1:24" x14ac:dyDescent="0.3">
      <c r="A129" s="7">
        <v>44409</v>
      </c>
      <c r="B129" s="5">
        <v>3855049466</v>
      </c>
      <c r="C129" s="1">
        <v>123.18</v>
      </c>
      <c r="D129" s="1">
        <v>3027.07</v>
      </c>
      <c r="E129" s="1">
        <v>4310.8599999999997</v>
      </c>
      <c r="F129" s="1">
        <v>136.44999999999999</v>
      </c>
      <c r="G129" s="1">
        <v>114.48</v>
      </c>
      <c r="H129" s="1">
        <v>34394.9</v>
      </c>
      <c r="I129" s="1">
        <v>1146395</v>
      </c>
      <c r="J129" s="1">
        <v>1142916</v>
      </c>
      <c r="K129" s="1">
        <v>119.46</v>
      </c>
      <c r="L129" s="1">
        <v>1.0556461029999999</v>
      </c>
      <c r="M129" s="1">
        <v>1290765</v>
      </c>
      <c r="N129" s="1">
        <v>1750319</v>
      </c>
      <c r="O129" s="1">
        <v>864965</v>
      </c>
      <c r="P129" s="1">
        <v>67.73</v>
      </c>
      <c r="Q129" s="1">
        <v>1024492</v>
      </c>
      <c r="R129" s="1">
        <v>6974.04</v>
      </c>
      <c r="S129" s="14">
        <f t="shared" si="6"/>
        <v>3717015934.1608882</v>
      </c>
      <c r="T129" s="14">
        <f t="shared" si="7"/>
        <v>138033531.8391118</v>
      </c>
      <c r="W129">
        <v>61.458333333333329</v>
      </c>
      <c r="X129">
        <v>1017547567</v>
      </c>
    </row>
    <row r="130" spans="1:24" x14ac:dyDescent="0.3">
      <c r="A130" s="7">
        <v>44440</v>
      </c>
      <c r="B130" s="5">
        <v>3897862783</v>
      </c>
      <c r="C130" s="1">
        <v>122.66</v>
      </c>
      <c r="D130" s="1">
        <v>3157.23</v>
      </c>
      <c r="E130" s="1">
        <v>4595.34</v>
      </c>
      <c r="F130" s="1">
        <v>138.19</v>
      </c>
      <c r="G130" s="1">
        <v>114.03</v>
      </c>
      <c r="H130" s="1">
        <v>36833</v>
      </c>
      <c r="I130" s="1">
        <v>1242641</v>
      </c>
      <c r="J130" s="1">
        <v>998981</v>
      </c>
      <c r="K130" s="1">
        <v>119.72</v>
      </c>
      <c r="L130" s="1">
        <v>1.0556461029999999</v>
      </c>
      <c r="M130" s="1">
        <v>1006797</v>
      </c>
      <c r="N130" s="1">
        <v>1241356</v>
      </c>
      <c r="O130" s="1">
        <v>791495</v>
      </c>
      <c r="P130" s="1">
        <v>71.56</v>
      </c>
      <c r="Q130" s="1">
        <v>901584</v>
      </c>
      <c r="R130" s="1">
        <v>6191.99</v>
      </c>
      <c r="S130" s="14">
        <f t="shared" ref="S130:S161" si="8">$W$38+SUMPRODUCT($X$38:$AM$38,C130:R130)</f>
        <v>3847846463.4324136</v>
      </c>
      <c r="T130" s="14">
        <f t="shared" ref="T130:T161" si="9">B130-S130</f>
        <v>50016319.567586422</v>
      </c>
      <c r="W130">
        <v>62.152777777777771</v>
      </c>
      <c r="X130">
        <v>1027165762</v>
      </c>
    </row>
    <row r="131" spans="1:24" x14ac:dyDescent="0.3">
      <c r="A131" s="7">
        <v>44470</v>
      </c>
      <c r="B131" s="5">
        <v>3976051170</v>
      </c>
      <c r="C131" s="1">
        <v>123.94</v>
      </c>
      <c r="D131" s="1">
        <v>3277.71</v>
      </c>
      <c r="E131" s="1">
        <v>4588.07</v>
      </c>
      <c r="F131" s="1">
        <v>135.36000000000001</v>
      </c>
      <c r="G131" s="1">
        <v>115.6</v>
      </c>
      <c r="H131" s="1">
        <v>40453.9</v>
      </c>
      <c r="I131" s="1">
        <v>1505277</v>
      </c>
      <c r="J131" s="1">
        <v>1167366</v>
      </c>
      <c r="K131" s="1">
        <v>120.73</v>
      </c>
      <c r="L131" s="1">
        <v>1.0556461029999999</v>
      </c>
      <c r="M131" s="1">
        <v>1284198</v>
      </c>
      <c r="N131" s="1">
        <v>1293380</v>
      </c>
      <c r="O131" s="1">
        <v>810767</v>
      </c>
      <c r="P131" s="1">
        <v>81.319999999999993</v>
      </c>
      <c r="Q131" s="1">
        <v>1056261</v>
      </c>
      <c r="R131" s="1">
        <v>6238.25</v>
      </c>
      <c r="S131" s="14">
        <f t="shared" si="8"/>
        <v>4064088344.6142268</v>
      </c>
      <c r="T131" s="14">
        <f t="shared" si="9"/>
        <v>-88037174.614226818</v>
      </c>
      <c r="W131">
        <v>62.847222222222221</v>
      </c>
      <c r="X131">
        <v>1031178712</v>
      </c>
    </row>
    <row r="132" spans="1:24" x14ac:dyDescent="0.3">
      <c r="A132" s="7">
        <v>44501</v>
      </c>
      <c r="B132" s="5">
        <v>3897474585</v>
      </c>
      <c r="C132" s="1">
        <v>122.03</v>
      </c>
      <c r="D132" s="1">
        <v>3238.98</v>
      </c>
      <c r="E132" s="1">
        <v>4554.63</v>
      </c>
      <c r="F132" s="1">
        <v>136.85</v>
      </c>
      <c r="G132" s="1">
        <v>115.94</v>
      </c>
      <c r="H132" s="1">
        <v>41043</v>
      </c>
      <c r="I132" s="1">
        <v>1438431</v>
      </c>
      <c r="J132" s="1">
        <v>1128540</v>
      </c>
      <c r="K132" s="1">
        <v>121.17</v>
      </c>
      <c r="L132" s="1">
        <v>0.98766042499999995</v>
      </c>
      <c r="M132" s="1">
        <v>1216715</v>
      </c>
      <c r="N132" s="1">
        <v>1294513</v>
      </c>
      <c r="O132" s="1">
        <v>898445</v>
      </c>
      <c r="P132" s="1">
        <v>79.180000000000007</v>
      </c>
      <c r="Q132" s="1">
        <v>1036640</v>
      </c>
      <c r="R132" s="1">
        <v>5828</v>
      </c>
      <c r="S132" s="14">
        <f t="shared" si="8"/>
        <v>3926379948.319778</v>
      </c>
      <c r="T132" s="14">
        <f t="shared" si="9"/>
        <v>-28905363.319777966</v>
      </c>
      <c r="W132">
        <v>63.541666666666657</v>
      </c>
      <c r="X132">
        <v>1031279058</v>
      </c>
    </row>
    <row r="133" spans="1:24" x14ac:dyDescent="0.3">
      <c r="A133" s="7">
        <v>44531</v>
      </c>
      <c r="B133" s="5">
        <v>3983456756</v>
      </c>
      <c r="C133" s="1">
        <v>122.76</v>
      </c>
      <c r="D133" s="1">
        <v>3245.22</v>
      </c>
      <c r="E133" s="1">
        <v>4894.62</v>
      </c>
      <c r="F133" s="1">
        <v>142.44999999999999</v>
      </c>
      <c r="G133" s="1">
        <v>114.82</v>
      </c>
      <c r="H133" s="1">
        <v>41269</v>
      </c>
      <c r="I133" s="1">
        <v>1067972</v>
      </c>
      <c r="J133" s="1">
        <v>985778</v>
      </c>
      <c r="K133" s="1">
        <v>119.46</v>
      </c>
      <c r="L133" s="1">
        <v>0.98766042499999995</v>
      </c>
      <c r="M133" s="1">
        <v>1156480</v>
      </c>
      <c r="N133" s="1">
        <v>1168545</v>
      </c>
      <c r="O133" s="1">
        <v>783480</v>
      </c>
      <c r="P133" s="1">
        <v>71.53</v>
      </c>
      <c r="Q133" s="1">
        <v>982552</v>
      </c>
      <c r="R133" s="1">
        <v>6598.85</v>
      </c>
      <c r="S133" s="14">
        <f t="shared" si="8"/>
        <v>3867745656.63129</v>
      </c>
      <c r="T133" s="14">
        <f t="shared" si="9"/>
        <v>115711099.36871004</v>
      </c>
      <c r="W133">
        <v>64.236111111111114</v>
      </c>
      <c r="X133">
        <v>1031430918</v>
      </c>
    </row>
    <row r="134" spans="1:24" x14ac:dyDescent="0.3">
      <c r="A134" s="7">
        <v>44562</v>
      </c>
      <c r="B134" s="5">
        <v>4514151564</v>
      </c>
      <c r="C134" s="1">
        <v>125.33</v>
      </c>
      <c r="D134" s="1">
        <v>3510.83</v>
      </c>
      <c r="E134" s="1">
        <v>5066.8599999999997</v>
      </c>
      <c r="F134" s="1">
        <v>103.63</v>
      </c>
      <c r="G134" s="1">
        <v>114.48</v>
      </c>
      <c r="H134" s="1">
        <v>459701.94</v>
      </c>
      <c r="I134" s="1">
        <v>1237308.02</v>
      </c>
      <c r="J134" s="1">
        <v>1059822.8799999999</v>
      </c>
      <c r="K134" s="1">
        <v>121.53</v>
      </c>
      <c r="L134" s="1">
        <v>0.98766042499999995</v>
      </c>
      <c r="M134" s="1">
        <v>1185594.1100000001</v>
      </c>
      <c r="N134" s="1">
        <v>1192585.6599999999</v>
      </c>
      <c r="O134" s="1">
        <v>972945.19</v>
      </c>
      <c r="P134" s="1">
        <v>83.12</v>
      </c>
      <c r="Q134" s="1">
        <v>911052</v>
      </c>
      <c r="R134" s="1">
        <v>5745.2</v>
      </c>
      <c r="S134" s="14">
        <f t="shared" si="8"/>
        <v>4504959741.9710064</v>
      </c>
      <c r="T134" s="14">
        <f t="shared" si="9"/>
        <v>9191822.0289936066</v>
      </c>
      <c r="W134">
        <v>64.930555555555557</v>
      </c>
      <c r="X134">
        <v>1041600591</v>
      </c>
    </row>
    <row r="135" spans="1:24" x14ac:dyDescent="0.3">
      <c r="A135" s="7">
        <v>44593</v>
      </c>
      <c r="B135" s="5">
        <v>4025509487</v>
      </c>
      <c r="C135" s="1">
        <v>126.15</v>
      </c>
      <c r="D135" s="1">
        <v>3504.56</v>
      </c>
      <c r="E135" s="1">
        <v>4915.1400000000003</v>
      </c>
      <c r="F135" s="1">
        <v>87.97</v>
      </c>
      <c r="G135" s="1">
        <v>115.38</v>
      </c>
      <c r="H135" s="1">
        <v>74426</v>
      </c>
      <c r="I135" s="1">
        <v>1126532.1100000001</v>
      </c>
      <c r="J135" s="1">
        <v>927909.04</v>
      </c>
      <c r="K135" s="1">
        <v>121.37</v>
      </c>
      <c r="L135" s="1">
        <v>0.91214731299999996</v>
      </c>
      <c r="M135" s="1">
        <v>1201537.74</v>
      </c>
      <c r="N135" s="1">
        <v>1186012.6000000001</v>
      </c>
      <c r="O135" s="1">
        <v>593086.28</v>
      </c>
      <c r="P135" s="1">
        <v>91.74</v>
      </c>
      <c r="Q135" s="1">
        <v>973727.93</v>
      </c>
      <c r="R135" s="1">
        <v>5120.46</v>
      </c>
      <c r="S135" s="14">
        <f t="shared" si="8"/>
        <v>4197041841.5286365</v>
      </c>
      <c r="T135" s="14">
        <f t="shared" si="9"/>
        <v>-171532354.52863646</v>
      </c>
      <c r="W135">
        <v>65.625</v>
      </c>
      <c r="X135">
        <v>1047272941</v>
      </c>
    </row>
    <row r="136" spans="1:24" x14ac:dyDescent="0.3">
      <c r="A136" s="7">
        <v>44621</v>
      </c>
      <c r="B136" s="5">
        <v>4248997961</v>
      </c>
      <c r="C136" s="1">
        <v>124.81</v>
      </c>
      <c r="D136" s="1">
        <v>3332.65</v>
      </c>
      <c r="E136" s="1">
        <v>4586.6000000000004</v>
      </c>
      <c r="F136" s="1">
        <v>105.93</v>
      </c>
      <c r="G136" s="1">
        <v>115.6</v>
      </c>
      <c r="H136" s="1">
        <v>34233.1</v>
      </c>
      <c r="I136" s="1">
        <v>1239667.0900000001</v>
      </c>
      <c r="J136" s="1">
        <v>1163744.08</v>
      </c>
      <c r="K136" s="1">
        <v>122.49</v>
      </c>
      <c r="L136" s="1">
        <v>0.91214731299999996</v>
      </c>
      <c r="M136" s="1">
        <v>1165995.49</v>
      </c>
      <c r="N136" s="1">
        <v>1240098</v>
      </c>
      <c r="O136" s="1">
        <v>1214789.1599999999</v>
      </c>
      <c r="P136" s="1">
        <v>108.49</v>
      </c>
      <c r="Q136" s="1">
        <v>1001527.9</v>
      </c>
      <c r="R136" s="1">
        <v>6246.21</v>
      </c>
      <c r="S136" s="14">
        <f t="shared" si="8"/>
        <v>4022080467.6365237</v>
      </c>
      <c r="T136" s="14">
        <f t="shared" si="9"/>
        <v>226917493.36347628</v>
      </c>
      <c r="W136">
        <v>66.319444444444443</v>
      </c>
      <c r="X136">
        <v>1048651003</v>
      </c>
    </row>
    <row r="137" spans="1:24" x14ac:dyDescent="0.3">
      <c r="A137" s="7">
        <v>44652</v>
      </c>
      <c r="B137" s="5">
        <v>4041802182</v>
      </c>
      <c r="C137" s="1">
        <v>122.54</v>
      </c>
      <c r="D137" s="1">
        <v>3131.53</v>
      </c>
      <c r="E137" s="1">
        <v>4262.8599999999997</v>
      </c>
      <c r="F137" s="1">
        <v>99.04</v>
      </c>
      <c r="G137" s="1">
        <v>114.59</v>
      </c>
      <c r="H137" s="1">
        <v>29483.1</v>
      </c>
      <c r="I137" s="1">
        <v>1344290.32</v>
      </c>
      <c r="J137" s="1">
        <v>1047193.89</v>
      </c>
      <c r="K137" s="1">
        <v>123.32</v>
      </c>
      <c r="L137" s="1">
        <v>0.91214731299999996</v>
      </c>
      <c r="M137" s="1">
        <v>1391748.13</v>
      </c>
      <c r="N137" s="1">
        <v>1431900.46</v>
      </c>
      <c r="O137" s="1">
        <v>784381.37</v>
      </c>
      <c r="P137" s="1">
        <v>101.78</v>
      </c>
      <c r="Q137" s="1">
        <v>903559.26</v>
      </c>
      <c r="R137" s="1">
        <v>6357.27</v>
      </c>
      <c r="S137" s="14">
        <f t="shared" si="8"/>
        <v>3768704848.0822539</v>
      </c>
      <c r="T137" s="14">
        <f t="shared" si="9"/>
        <v>273097333.91774607</v>
      </c>
      <c r="W137">
        <v>67.013888888888886</v>
      </c>
      <c r="X137">
        <v>1072985548</v>
      </c>
    </row>
    <row r="138" spans="1:24" x14ac:dyDescent="0.3">
      <c r="A138" s="7">
        <v>44682</v>
      </c>
      <c r="B138" s="5">
        <v>3967132108</v>
      </c>
      <c r="C138" s="1">
        <v>124.99</v>
      </c>
      <c r="D138" s="1">
        <v>3117.94</v>
      </c>
      <c r="E138" s="1">
        <v>4162.3999999999996</v>
      </c>
      <c r="F138" s="1">
        <v>100.9</v>
      </c>
      <c r="G138" s="1">
        <v>114.93</v>
      </c>
      <c r="H138" s="1">
        <v>33547</v>
      </c>
      <c r="I138" s="1">
        <v>1256894.96</v>
      </c>
      <c r="J138" s="1">
        <v>1159409.17</v>
      </c>
      <c r="K138" s="1">
        <v>121.58</v>
      </c>
      <c r="L138" s="1">
        <v>1.044546159</v>
      </c>
      <c r="M138" s="1">
        <v>1118046.81</v>
      </c>
      <c r="N138" s="1">
        <v>1320368.19</v>
      </c>
      <c r="O138" s="1">
        <v>1025535.94</v>
      </c>
      <c r="P138" s="1">
        <v>109.6</v>
      </c>
      <c r="Q138" s="1">
        <v>970010.11</v>
      </c>
      <c r="R138" s="1">
        <v>5997.66</v>
      </c>
      <c r="S138" s="14">
        <f t="shared" si="8"/>
        <v>3851687745.6364217</v>
      </c>
      <c r="T138" s="14">
        <f t="shared" si="9"/>
        <v>115444362.36357832</v>
      </c>
      <c r="W138">
        <v>67.708333333333343</v>
      </c>
      <c r="X138">
        <v>1083944239</v>
      </c>
    </row>
    <row r="139" spans="1:24" x14ac:dyDescent="0.3">
      <c r="A139" s="7">
        <v>44713</v>
      </c>
      <c r="B139" s="5">
        <v>4196674541</v>
      </c>
      <c r="C139" s="1">
        <v>126.06</v>
      </c>
      <c r="D139" s="1">
        <v>3228.37</v>
      </c>
      <c r="E139" s="1">
        <v>4219.8500000000004</v>
      </c>
      <c r="F139" s="1">
        <v>100.59</v>
      </c>
      <c r="G139" s="1">
        <v>113.58</v>
      </c>
      <c r="H139" s="1">
        <v>38742.5</v>
      </c>
      <c r="I139" s="1">
        <v>1249688.07</v>
      </c>
      <c r="J139" s="1">
        <v>1015538.28</v>
      </c>
      <c r="K139" s="1">
        <v>120.85</v>
      </c>
      <c r="L139" s="1">
        <v>1.044546159</v>
      </c>
      <c r="M139" s="1">
        <v>1013368.33</v>
      </c>
      <c r="N139" s="1">
        <v>1255670.17</v>
      </c>
      <c r="O139" s="1">
        <v>884087.6</v>
      </c>
      <c r="P139" s="1">
        <v>114.59</v>
      </c>
      <c r="Q139" s="1">
        <v>928030.22</v>
      </c>
      <c r="R139" s="1">
        <v>6297.31</v>
      </c>
      <c r="S139" s="14">
        <f t="shared" si="8"/>
        <v>4010624082.193748</v>
      </c>
      <c r="T139" s="14">
        <f t="shared" si="9"/>
        <v>186050458.806252</v>
      </c>
      <c r="W139">
        <v>68.402777777777786</v>
      </c>
      <c r="X139">
        <v>1085378948</v>
      </c>
    </row>
    <row r="140" spans="1:24" x14ac:dyDescent="0.3">
      <c r="A140" s="7">
        <v>44743</v>
      </c>
      <c r="B140" s="5">
        <v>4133509174</v>
      </c>
      <c r="C140" s="1">
        <v>125.96</v>
      </c>
      <c r="D140" s="1">
        <v>3239.69</v>
      </c>
      <c r="E140" s="1">
        <v>4061.29</v>
      </c>
      <c r="F140" s="1">
        <v>100.76</v>
      </c>
      <c r="G140" s="1">
        <v>113.13</v>
      </c>
      <c r="H140" s="1">
        <v>35870.1</v>
      </c>
      <c r="I140" s="1">
        <v>1210906.04</v>
      </c>
      <c r="J140" s="1">
        <v>1016611.56</v>
      </c>
      <c r="K140" s="1">
        <v>120.03</v>
      </c>
      <c r="L140" s="1">
        <v>1.044546159</v>
      </c>
      <c r="M140" s="1">
        <v>1156463.43</v>
      </c>
      <c r="N140" s="1">
        <v>1233627.75</v>
      </c>
      <c r="O140" s="1">
        <v>953045.21</v>
      </c>
      <c r="P140" s="1">
        <v>99.85</v>
      </c>
      <c r="Q140" s="1">
        <v>893371.36</v>
      </c>
      <c r="R140" s="1">
        <v>6820.86</v>
      </c>
      <c r="S140" s="14">
        <f t="shared" si="8"/>
        <v>4068333273.8769917</v>
      </c>
      <c r="T140" s="14">
        <f t="shared" si="9"/>
        <v>65175900.123008251</v>
      </c>
      <c r="W140">
        <v>69.097222222222229</v>
      </c>
      <c r="X140">
        <v>1089106723</v>
      </c>
    </row>
    <row r="141" spans="1:24" x14ac:dyDescent="0.3">
      <c r="A141" s="7">
        <v>44774</v>
      </c>
      <c r="B141" s="5">
        <v>3783663232</v>
      </c>
      <c r="C141" s="1">
        <v>124.48</v>
      </c>
      <c r="D141" s="1">
        <v>3033.6</v>
      </c>
      <c r="E141" s="1">
        <v>3471.62</v>
      </c>
      <c r="F141" s="1">
        <v>102.14</v>
      </c>
      <c r="G141" s="1">
        <v>113.47</v>
      </c>
      <c r="H141" s="1">
        <v>36257.9</v>
      </c>
      <c r="I141" s="1">
        <v>1037026.84</v>
      </c>
      <c r="J141" s="1">
        <v>877276.11</v>
      </c>
      <c r="K141" s="1">
        <v>120.33</v>
      </c>
      <c r="L141" s="1">
        <v>1.0556461029999999</v>
      </c>
      <c r="M141" s="1">
        <v>925929.92</v>
      </c>
      <c r="N141" s="1">
        <v>999779.01</v>
      </c>
      <c r="O141" s="1">
        <v>883389.28</v>
      </c>
      <c r="P141" s="1">
        <v>91.57</v>
      </c>
      <c r="Q141" s="1">
        <v>822946.14</v>
      </c>
      <c r="R141" s="1">
        <v>6845.86</v>
      </c>
      <c r="S141" s="14">
        <f t="shared" si="8"/>
        <v>3839185287.4224982</v>
      </c>
      <c r="T141" s="14">
        <f t="shared" si="9"/>
        <v>-55522055.422498226</v>
      </c>
      <c r="W141">
        <v>69.791666666666671</v>
      </c>
      <c r="X141">
        <v>1097405885</v>
      </c>
    </row>
    <row r="142" spans="1:24" x14ac:dyDescent="0.3">
      <c r="A142" s="7">
        <v>44805</v>
      </c>
      <c r="B142" s="5">
        <v>3098017092</v>
      </c>
      <c r="C142" s="1">
        <v>122.99</v>
      </c>
      <c r="D142" s="1">
        <v>2593.35</v>
      </c>
      <c r="E142" s="1">
        <v>2343.48</v>
      </c>
      <c r="F142" s="1">
        <v>96.06</v>
      </c>
      <c r="G142" s="1">
        <v>114.59</v>
      </c>
      <c r="H142" s="1">
        <v>37744.9</v>
      </c>
      <c r="I142" s="1">
        <v>910536.77</v>
      </c>
      <c r="J142" s="1">
        <v>693450.83</v>
      </c>
      <c r="K142" s="1">
        <v>119.4</v>
      </c>
      <c r="L142" s="1">
        <v>1.0556461029999999</v>
      </c>
      <c r="M142" s="1">
        <v>910932.47</v>
      </c>
      <c r="N142" s="1">
        <v>802393.13</v>
      </c>
      <c r="O142" s="1">
        <v>691983.34</v>
      </c>
      <c r="P142" s="1">
        <v>83.87</v>
      </c>
      <c r="Q142" s="1">
        <v>738272.79</v>
      </c>
      <c r="R142" s="1">
        <v>5501.8</v>
      </c>
      <c r="S142" s="14">
        <f t="shared" si="8"/>
        <v>3299298638.3748279</v>
      </c>
      <c r="T142" s="14">
        <f t="shared" si="9"/>
        <v>-201281546.37482786</v>
      </c>
      <c r="W142">
        <v>70.486111111111114</v>
      </c>
      <c r="X142">
        <v>1097809801</v>
      </c>
    </row>
    <row r="143" spans="1:24" x14ac:dyDescent="0.3">
      <c r="A143" s="7">
        <v>44835</v>
      </c>
      <c r="B143" s="5">
        <v>2647099346</v>
      </c>
      <c r="C143" s="1">
        <v>120.51</v>
      </c>
      <c r="D143" s="1">
        <v>1828.16</v>
      </c>
      <c r="E143" s="1">
        <v>1158.78</v>
      </c>
      <c r="F143" s="1">
        <v>94.48</v>
      </c>
      <c r="G143" s="1">
        <v>112.68</v>
      </c>
      <c r="H143" s="1">
        <v>40270.5</v>
      </c>
      <c r="I143" s="1">
        <v>1163819.78</v>
      </c>
      <c r="J143" s="1">
        <v>902184.94</v>
      </c>
      <c r="K143" s="1">
        <v>120.17</v>
      </c>
      <c r="L143" s="1">
        <v>1.0556461029999999</v>
      </c>
      <c r="M143" s="1">
        <v>1081070.22</v>
      </c>
      <c r="N143" s="1">
        <v>944733.72</v>
      </c>
      <c r="O143" s="1">
        <v>889360.39</v>
      </c>
      <c r="P143" s="1">
        <v>87.26</v>
      </c>
      <c r="Q143" s="1">
        <v>818238.89</v>
      </c>
      <c r="R143" s="1">
        <v>7215.48</v>
      </c>
      <c r="S143" s="14">
        <f t="shared" si="8"/>
        <v>2561675280.4162488</v>
      </c>
      <c r="T143" s="14">
        <f t="shared" si="9"/>
        <v>85424065.583751202</v>
      </c>
      <c r="W143">
        <v>71.180555555555557</v>
      </c>
      <c r="X143">
        <v>1098437144</v>
      </c>
    </row>
    <row r="144" spans="1:24" x14ac:dyDescent="0.3">
      <c r="A144" s="7">
        <v>44866</v>
      </c>
      <c r="B144" s="5">
        <v>2183396256</v>
      </c>
      <c r="C144" s="1">
        <v>121.37</v>
      </c>
      <c r="D144" s="1">
        <v>1683.88</v>
      </c>
      <c r="E144" s="1">
        <v>1389.81</v>
      </c>
      <c r="F144" s="1">
        <v>94.53</v>
      </c>
      <c r="G144" s="1">
        <v>112.9</v>
      </c>
      <c r="H144" s="1">
        <v>38615.1</v>
      </c>
      <c r="I144" s="1">
        <v>1161377.68</v>
      </c>
      <c r="J144" s="1">
        <v>952571.59</v>
      </c>
      <c r="K144" s="1">
        <v>118.37</v>
      </c>
      <c r="L144" s="1">
        <v>0.98766042499999995</v>
      </c>
      <c r="M144" s="1">
        <v>921998.53</v>
      </c>
      <c r="N144" s="1">
        <v>1008432.84</v>
      </c>
      <c r="O144" s="1">
        <v>784673.42</v>
      </c>
      <c r="P144" s="1">
        <v>84.78</v>
      </c>
      <c r="Q144" s="1">
        <v>823703.96</v>
      </c>
      <c r="R144" s="1">
        <v>6493.51</v>
      </c>
      <c r="S144" s="14">
        <f t="shared" si="8"/>
        <v>2292491636.7930541</v>
      </c>
      <c r="T144" s="14">
        <f t="shared" si="9"/>
        <v>-109095380.7930541</v>
      </c>
      <c r="W144">
        <v>71.875</v>
      </c>
      <c r="X144">
        <v>1112398911</v>
      </c>
    </row>
    <row r="145" spans="1:38" x14ac:dyDescent="0.3">
      <c r="A145" s="7">
        <v>44896</v>
      </c>
      <c r="B145" s="5">
        <v>1857201428</v>
      </c>
      <c r="C145" s="1">
        <v>123.17</v>
      </c>
      <c r="D145" s="1">
        <v>1358.63</v>
      </c>
      <c r="E145" s="1">
        <v>1129.47</v>
      </c>
      <c r="F145" s="1">
        <v>94.16</v>
      </c>
      <c r="G145" s="1">
        <v>112</v>
      </c>
      <c r="H145" s="1">
        <v>40542.300000000003</v>
      </c>
      <c r="I145" s="1">
        <v>965736.1</v>
      </c>
      <c r="J145" s="1">
        <v>748258.9</v>
      </c>
      <c r="K145" s="1">
        <v>117.01</v>
      </c>
      <c r="L145" s="1">
        <v>0.98766042499999995</v>
      </c>
      <c r="M145" s="1">
        <v>828149.66</v>
      </c>
      <c r="N145" s="1">
        <v>920099.77</v>
      </c>
      <c r="O145" s="1">
        <v>1043214.84</v>
      </c>
      <c r="P145" s="1">
        <v>76.52</v>
      </c>
      <c r="Q145" s="1">
        <v>787333.78</v>
      </c>
      <c r="R145" s="1">
        <v>6829.22</v>
      </c>
      <c r="S145" s="14">
        <f t="shared" si="8"/>
        <v>1985953706.3162866</v>
      </c>
      <c r="T145" s="14">
        <f t="shared" si="9"/>
        <v>-128752278.31628656</v>
      </c>
      <c r="W145">
        <v>72.569444444444443</v>
      </c>
      <c r="X145">
        <v>1120793497</v>
      </c>
    </row>
    <row r="146" spans="1:38" x14ac:dyDescent="0.3">
      <c r="A146" s="7">
        <v>44927</v>
      </c>
      <c r="B146" s="5">
        <v>1591138738</v>
      </c>
      <c r="C146" s="1">
        <v>119.69</v>
      </c>
      <c r="D146" s="1">
        <v>1206.01</v>
      </c>
      <c r="E146" s="1">
        <v>1040.77</v>
      </c>
      <c r="F146" s="1">
        <v>79.19</v>
      </c>
      <c r="G146" s="1">
        <v>112.45</v>
      </c>
      <c r="H146" s="1">
        <v>56185.22</v>
      </c>
      <c r="I146" s="1">
        <v>1002463.34</v>
      </c>
      <c r="J146" s="1">
        <v>915345.67</v>
      </c>
      <c r="K146" s="1">
        <v>120.71</v>
      </c>
      <c r="L146" s="1">
        <v>0.98766042499999995</v>
      </c>
      <c r="M146" s="1">
        <v>954424.63</v>
      </c>
      <c r="N146" s="1">
        <v>870715.07</v>
      </c>
      <c r="O146" s="1">
        <v>675612.15</v>
      </c>
      <c r="P146" s="1">
        <v>78.11</v>
      </c>
      <c r="Q146" s="1">
        <v>700239.95</v>
      </c>
      <c r="R146" s="1">
        <v>5372.66</v>
      </c>
      <c r="S146" s="14">
        <f t="shared" si="8"/>
        <v>1662643916.9373174</v>
      </c>
      <c r="T146" s="14">
        <f t="shared" si="9"/>
        <v>-71505178.937317371</v>
      </c>
      <c r="W146">
        <v>73.263888888888886</v>
      </c>
      <c r="X146">
        <v>1121572378</v>
      </c>
    </row>
    <row r="147" spans="1:38" x14ac:dyDescent="0.3">
      <c r="A147" s="7">
        <v>44958</v>
      </c>
      <c r="B147" s="5">
        <v>1235971039</v>
      </c>
      <c r="C147" s="1">
        <v>119.9</v>
      </c>
      <c r="D147" s="1">
        <v>1103.73</v>
      </c>
      <c r="E147" s="1">
        <v>980.85</v>
      </c>
      <c r="F147" s="1">
        <v>79.19</v>
      </c>
      <c r="G147" s="1">
        <v>112.12</v>
      </c>
      <c r="H147" s="1">
        <v>77067</v>
      </c>
      <c r="I147" s="1">
        <v>1059961.24</v>
      </c>
      <c r="J147" s="1">
        <v>780771</v>
      </c>
      <c r="K147" s="1">
        <v>119.27</v>
      </c>
      <c r="L147" s="1">
        <v>0.91214731299999996</v>
      </c>
      <c r="M147" s="1">
        <v>935199</v>
      </c>
      <c r="N147" s="1">
        <v>987206.73</v>
      </c>
      <c r="O147" s="1">
        <v>754712.89</v>
      </c>
      <c r="P147" s="1">
        <v>76.84</v>
      </c>
      <c r="Q147" s="1">
        <v>886982.73</v>
      </c>
      <c r="R147" s="1">
        <v>5841.82</v>
      </c>
      <c r="S147" s="14">
        <f t="shared" si="8"/>
        <v>1597171647.8388848</v>
      </c>
      <c r="T147" s="14">
        <f t="shared" si="9"/>
        <v>-361200608.83888483</v>
      </c>
      <c r="W147">
        <v>73.958333333333343</v>
      </c>
      <c r="X147">
        <v>1130996192</v>
      </c>
    </row>
    <row r="148" spans="1:38" x14ac:dyDescent="0.3">
      <c r="A148" s="7">
        <v>44986</v>
      </c>
      <c r="B148" s="5">
        <v>1425650479</v>
      </c>
      <c r="C148" s="1">
        <v>121.6</v>
      </c>
      <c r="D148" s="1">
        <v>1001.27</v>
      </c>
      <c r="E148" s="1">
        <v>915.9</v>
      </c>
      <c r="F148" s="1">
        <v>88.95</v>
      </c>
      <c r="G148" s="1">
        <v>111.55</v>
      </c>
      <c r="H148" s="1">
        <v>37855.4</v>
      </c>
      <c r="I148" s="1">
        <v>1080034.54</v>
      </c>
      <c r="J148" s="1">
        <v>919786.03</v>
      </c>
      <c r="K148" s="1">
        <v>117.67</v>
      </c>
      <c r="L148" s="1">
        <v>0.91214731299999996</v>
      </c>
      <c r="M148" s="1">
        <v>966343.28</v>
      </c>
      <c r="N148" s="1">
        <v>1285802.43</v>
      </c>
      <c r="O148" s="1">
        <v>872773.17</v>
      </c>
      <c r="P148" s="1">
        <v>73.37</v>
      </c>
      <c r="Q148" s="1">
        <v>850051.47</v>
      </c>
      <c r="R148" s="1">
        <v>6305.15</v>
      </c>
      <c r="S148" s="14">
        <f t="shared" si="8"/>
        <v>1472701595.2136722</v>
      </c>
      <c r="T148" s="14">
        <f t="shared" si="9"/>
        <v>-47051116.213672161</v>
      </c>
      <c r="W148">
        <v>74.652777777777786</v>
      </c>
      <c r="X148">
        <v>1139698269</v>
      </c>
    </row>
    <row r="149" spans="1:38" x14ac:dyDescent="0.3">
      <c r="A149" s="7">
        <v>45017</v>
      </c>
      <c r="B149" s="5">
        <v>1357942393</v>
      </c>
      <c r="C149" s="1">
        <v>122.77</v>
      </c>
      <c r="D149" s="1">
        <v>948.48</v>
      </c>
      <c r="E149" s="1">
        <v>1006.85</v>
      </c>
      <c r="F149" s="1">
        <v>76.66</v>
      </c>
      <c r="G149" s="1">
        <v>111.33</v>
      </c>
      <c r="H149" s="1">
        <v>34910.5</v>
      </c>
      <c r="I149" s="1">
        <v>1063708.1599999999</v>
      </c>
      <c r="J149" s="1">
        <v>883977.5</v>
      </c>
      <c r="K149" s="1">
        <v>118.06</v>
      </c>
      <c r="L149" s="1">
        <v>0.91214731299999996</v>
      </c>
      <c r="M149" s="1">
        <v>860244.29</v>
      </c>
      <c r="N149" s="1">
        <v>1324484.25</v>
      </c>
      <c r="O149" s="1">
        <v>828540.78</v>
      </c>
      <c r="P149" s="1">
        <v>79.44</v>
      </c>
      <c r="Q149" s="1">
        <v>789143.66</v>
      </c>
      <c r="R149" s="1">
        <v>5257</v>
      </c>
      <c r="S149" s="14">
        <f t="shared" si="8"/>
        <v>1373408558.7409606</v>
      </c>
      <c r="T149" s="14">
        <f t="shared" si="9"/>
        <v>-15466165.740960598</v>
      </c>
      <c r="W149">
        <v>75.347222222222229</v>
      </c>
      <c r="X149">
        <v>1151726966</v>
      </c>
    </row>
    <row r="150" spans="1:38" x14ac:dyDescent="0.3">
      <c r="A150" s="7">
        <v>45047</v>
      </c>
      <c r="B150" s="5">
        <v>1388294072</v>
      </c>
      <c r="C150" s="1">
        <v>123.4</v>
      </c>
      <c r="D150" s="1">
        <v>952.11</v>
      </c>
      <c r="E150" s="1">
        <v>984.4</v>
      </c>
      <c r="F150" s="1">
        <v>85.05</v>
      </c>
      <c r="G150" s="1">
        <v>112.12</v>
      </c>
      <c r="H150" s="1">
        <v>37803.300000000003</v>
      </c>
      <c r="I150" s="1">
        <v>1148584.26</v>
      </c>
      <c r="J150" s="1">
        <v>971557.14</v>
      </c>
      <c r="K150" s="1">
        <v>118.23</v>
      </c>
      <c r="L150" s="1">
        <v>1.044546159</v>
      </c>
      <c r="M150" s="1">
        <v>876878.59</v>
      </c>
      <c r="N150" s="1">
        <v>1231894.51</v>
      </c>
      <c r="O150" s="1">
        <v>995792.96</v>
      </c>
      <c r="P150" s="1">
        <v>71.59</v>
      </c>
      <c r="Q150" s="1">
        <v>809303.78</v>
      </c>
      <c r="R150" s="1">
        <v>5778.08</v>
      </c>
      <c r="S150" s="14">
        <f t="shared" si="8"/>
        <v>1529190676.3993678</v>
      </c>
      <c r="T150" s="14">
        <f t="shared" si="9"/>
        <v>-140896604.39936781</v>
      </c>
      <c r="W150">
        <v>76.041666666666671</v>
      </c>
      <c r="X150">
        <v>1160576030</v>
      </c>
    </row>
    <row r="151" spans="1:38" x14ac:dyDescent="0.3">
      <c r="A151" s="7">
        <v>45078</v>
      </c>
      <c r="B151" s="5">
        <v>1386000649</v>
      </c>
      <c r="C151" s="1">
        <v>124.09</v>
      </c>
      <c r="D151" s="1">
        <v>918.89</v>
      </c>
      <c r="E151" s="1">
        <v>964.15</v>
      </c>
      <c r="F151" s="1">
        <v>83.24</v>
      </c>
      <c r="G151" s="1">
        <v>112.45</v>
      </c>
      <c r="H151" s="1">
        <v>39951.4</v>
      </c>
      <c r="I151" s="1">
        <v>1019606.61</v>
      </c>
      <c r="J151" s="1">
        <v>836130.44</v>
      </c>
      <c r="K151" s="1">
        <v>118.18</v>
      </c>
      <c r="L151" s="1">
        <v>1.044546159</v>
      </c>
      <c r="M151" s="1">
        <v>799291.5</v>
      </c>
      <c r="N151" s="1">
        <v>1213670.8600000001</v>
      </c>
      <c r="O151" s="1">
        <v>575712.52</v>
      </c>
      <c r="P151" s="1">
        <v>70.23</v>
      </c>
      <c r="Q151" s="1">
        <v>778166.64</v>
      </c>
      <c r="R151" s="1">
        <v>4702.1000000000004</v>
      </c>
      <c r="S151" s="14">
        <f t="shared" si="8"/>
        <v>1407956766.4425387</v>
      </c>
      <c r="T151" s="14">
        <f t="shared" si="9"/>
        <v>-21956117.442538738</v>
      </c>
      <c r="W151">
        <v>76.736111111111114</v>
      </c>
      <c r="X151">
        <v>1162746019</v>
      </c>
    </row>
    <row r="152" spans="1:38" x14ac:dyDescent="0.3">
      <c r="A152" s="7">
        <v>45108</v>
      </c>
      <c r="B152" s="5">
        <v>1381770599</v>
      </c>
      <c r="C152" s="1">
        <v>123.68</v>
      </c>
      <c r="D152" s="1">
        <v>869.89</v>
      </c>
      <c r="E152" s="1">
        <v>976.63</v>
      </c>
      <c r="F152" s="1">
        <v>85.18</v>
      </c>
      <c r="G152" s="1">
        <v>112.12</v>
      </c>
      <c r="H152" s="1">
        <v>36760.699999999997</v>
      </c>
      <c r="I152" s="1">
        <v>1061152.06</v>
      </c>
      <c r="J152" s="1">
        <v>902520.27</v>
      </c>
      <c r="K152" s="1">
        <v>118.23</v>
      </c>
      <c r="L152" s="1">
        <v>1.044546159</v>
      </c>
      <c r="M152" s="1">
        <v>1001641.51</v>
      </c>
      <c r="N152" s="1">
        <v>1126577.94</v>
      </c>
      <c r="O152" s="1">
        <v>771157.05</v>
      </c>
      <c r="P152" s="1">
        <v>76.39</v>
      </c>
      <c r="Q152" s="1">
        <v>807662.85</v>
      </c>
      <c r="R152" s="1">
        <v>5524.8</v>
      </c>
      <c r="S152" s="14">
        <f t="shared" si="8"/>
        <v>1379100542.767839</v>
      </c>
      <c r="T152" s="14">
        <f t="shared" si="9"/>
        <v>2670056.2321610451</v>
      </c>
      <c r="W152">
        <v>77.430555555555557</v>
      </c>
      <c r="X152">
        <v>1191693765</v>
      </c>
    </row>
    <row r="153" spans="1:38" x14ac:dyDescent="0.3">
      <c r="A153" s="7">
        <v>45139</v>
      </c>
      <c r="B153" s="5">
        <v>1436576298</v>
      </c>
      <c r="C153" s="1">
        <v>124</v>
      </c>
      <c r="D153" s="1">
        <v>880.79</v>
      </c>
      <c r="E153" s="1">
        <v>1031.9100000000001</v>
      </c>
      <c r="F153" s="1">
        <v>91.1</v>
      </c>
      <c r="G153" s="1">
        <v>110.99</v>
      </c>
      <c r="H153" s="1">
        <v>37932.699999999997</v>
      </c>
      <c r="I153" s="1">
        <v>1172969.45</v>
      </c>
      <c r="J153" s="1">
        <v>805587.07</v>
      </c>
      <c r="K153" s="1">
        <v>118.61</v>
      </c>
      <c r="L153" s="1">
        <v>1.0556461029999999</v>
      </c>
      <c r="M153" s="1">
        <v>902913.82</v>
      </c>
      <c r="N153" s="1">
        <v>1267432.6100000001</v>
      </c>
      <c r="O153" s="1">
        <v>973454.4</v>
      </c>
      <c r="P153" s="1">
        <v>81.400000000000006</v>
      </c>
      <c r="Q153" s="1">
        <v>885976.17</v>
      </c>
      <c r="R153" s="1">
        <v>4751.17</v>
      </c>
      <c r="S153" s="14">
        <f t="shared" si="8"/>
        <v>1425900366.8636365</v>
      </c>
      <c r="T153" s="14">
        <f t="shared" si="9"/>
        <v>10675931.136363506</v>
      </c>
      <c r="W153">
        <v>78.125</v>
      </c>
      <c r="X153">
        <v>1196575714</v>
      </c>
    </row>
    <row r="154" spans="1:38" x14ac:dyDescent="0.3">
      <c r="A154" s="7">
        <v>45170</v>
      </c>
      <c r="B154" s="5">
        <v>1402780189</v>
      </c>
      <c r="C154" s="1">
        <v>128.01</v>
      </c>
      <c r="D154" s="1">
        <v>876.46</v>
      </c>
      <c r="E154" s="1">
        <v>956.03</v>
      </c>
      <c r="F154" s="1">
        <v>89.4</v>
      </c>
      <c r="G154" s="1">
        <v>110.88</v>
      </c>
      <c r="H154" s="1">
        <v>39826</v>
      </c>
      <c r="I154" s="1">
        <v>1018873.07</v>
      </c>
      <c r="J154" s="1">
        <v>898766.64</v>
      </c>
      <c r="K154" s="1">
        <v>119.1</v>
      </c>
      <c r="L154" s="1">
        <v>1.0556461029999999</v>
      </c>
      <c r="M154" s="1">
        <v>953589.5</v>
      </c>
      <c r="N154" s="1">
        <v>1225980.6299999999</v>
      </c>
      <c r="O154" s="1">
        <v>812652.9</v>
      </c>
      <c r="P154" s="1">
        <v>89.58</v>
      </c>
      <c r="Q154" s="1">
        <v>826237.41</v>
      </c>
      <c r="R154" s="1">
        <v>4172.2700000000004</v>
      </c>
      <c r="S154" s="14">
        <f t="shared" si="8"/>
        <v>1388417156.1093459</v>
      </c>
      <c r="T154" s="14">
        <f t="shared" si="9"/>
        <v>14363032.890654087</v>
      </c>
      <c r="W154">
        <v>78.819444444444443</v>
      </c>
      <c r="X154">
        <v>1197942563</v>
      </c>
    </row>
    <row r="155" spans="1:38" x14ac:dyDescent="0.3">
      <c r="A155" s="7">
        <v>45200</v>
      </c>
      <c r="B155" s="5">
        <v>1383704752</v>
      </c>
      <c r="C155" s="1">
        <v>124.59</v>
      </c>
      <c r="D155" s="1">
        <v>816.22</v>
      </c>
      <c r="E155" s="1">
        <v>940.6</v>
      </c>
      <c r="F155" s="1">
        <v>92.42</v>
      </c>
      <c r="G155" s="1">
        <v>111.55</v>
      </c>
      <c r="H155" s="1">
        <v>43333</v>
      </c>
      <c r="I155" s="1">
        <v>1030729.96</v>
      </c>
      <c r="J155" s="1">
        <v>1009612.7</v>
      </c>
      <c r="K155" s="1">
        <v>118.41</v>
      </c>
      <c r="L155" s="1">
        <v>1.0556461029999999</v>
      </c>
      <c r="M155" s="1">
        <v>884513.75</v>
      </c>
      <c r="N155" s="1">
        <v>1375229.07</v>
      </c>
      <c r="O155" s="1">
        <v>843406.04</v>
      </c>
      <c r="P155" s="1">
        <v>85.57</v>
      </c>
      <c r="Q155" s="1">
        <v>797399.35</v>
      </c>
      <c r="R155" s="1">
        <v>4897</v>
      </c>
      <c r="S155" s="14">
        <f t="shared" si="8"/>
        <v>1269225987.5931439</v>
      </c>
      <c r="T155" s="14">
        <f t="shared" si="9"/>
        <v>114478764.40685606</v>
      </c>
      <c r="W155">
        <v>79.513888888888886</v>
      </c>
      <c r="X155">
        <v>1241487968</v>
      </c>
    </row>
    <row r="156" spans="1:38" x14ac:dyDescent="0.3">
      <c r="A156" s="7">
        <v>45231</v>
      </c>
      <c r="B156" s="5">
        <v>1348412522</v>
      </c>
      <c r="C156" s="1">
        <v>126.22</v>
      </c>
      <c r="D156" s="1">
        <v>855.12</v>
      </c>
      <c r="E156" s="1">
        <v>1022.81</v>
      </c>
      <c r="F156" s="1">
        <v>92.8</v>
      </c>
      <c r="G156" s="1">
        <v>112.12</v>
      </c>
      <c r="H156" s="1">
        <v>42505</v>
      </c>
      <c r="I156" s="1">
        <v>963313.22</v>
      </c>
      <c r="J156" s="1">
        <v>941551.16</v>
      </c>
      <c r="K156" s="1">
        <v>117.61</v>
      </c>
      <c r="L156" s="1">
        <v>0.98766042499999995</v>
      </c>
      <c r="M156" s="1">
        <v>880499.98</v>
      </c>
      <c r="N156" s="1">
        <v>998863.22</v>
      </c>
      <c r="O156" s="1">
        <v>1038671.97</v>
      </c>
      <c r="P156" s="1">
        <v>77.430000000000007</v>
      </c>
      <c r="Q156" s="1">
        <v>754304.86</v>
      </c>
      <c r="R156" s="1">
        <v>4427.51</v>
      </c>
      <c r="S156" s="14">
        <f t="shared" si="8"/>
        <v>1303928062.3798213</v>
      </c>
      <c r="T156" s="14">
        <f t="shared" si="9"/>
        <v>44484459.620178699</v>
      </c>
      <c r="W156">
        <v>80.208333333333343</v>
      </c>
      <c r="X156">
        <v>1302785576</v>
      </c>
    </row>
    <row r="157" spans="1:38" x14ac:dyDescent="0.3">
      <c r="A157" s="7">
        <v>45261</v>
      </c>
      <c r="B157" s="5">
        <v>1333721396</v>
      </c>
      <c r="C157" s="1">
        <v>129.72</v>
      </c>
      <c r="D157" s="1">
        <v>874.88</v>
      </c>
      <c r="E157" s="1">
        <v>1230.22</v>
      </c>
      <c r="F157" s="1">
        <v>90.48</v>
      </c>
      <c r="G157" s="1">
        <v>111.55</v>
      </c>
      <c r="H157" s="1">
        <v>43550.2</v>
      </c>
      <c r="I157" s="1">
        <v>1035879.66</v>
      </c>
      <c r="J157" s="1">
        <v>920262.5</v>
      </c>
      <c r="K157" s="1">
        <v>117.81</v>
      </c>
      <c r="L157" s="1">
        <v>0.98766042499999995</v>
      </c>
      <c r="M157" s="1">
        <v>863832.45</v>
      </c>
      <c r="N157" s="1">
        <v>1066438.94</v>
      </c>
      <c r="O157" s="1">
        <v>891345.55</v>
      </c>
      <c r="P157" s="1">
        <v>72.08</v>
      </c>
      <c r="Q157" s="1">
        <v>787873.82</v>
      </c>
      <c r="R157" s="1">
        <v>5345.08</v>
      </c>
      <c r="S157" s="14">
        <f t="shared" si="8"/>
        <v>1445177018.3675885</v>
      </c>
      <c r="T157" s="14">
        <f t="shared" si="9"/>
        <v>-111455622.36758852</v>
      </c>
      <c r="W157">
        <v>80.902777777777786</v>
      </c>
      <c r="X157">
        <v>1361596240</v>
      </c>
    </row>
    <row r="158" spans="1:38" x14ac:dyDescent="0.3">
      <c r="A158" s="7">
        <v>45292</v>
      </c>
      <c r="B158" s="5">
        <v>1611023862</v>
      </c>
      <c r="C158" s="1">
        <v>127.14</v>
      </c>
      <c r="D158" s="1">
        <v>1166.9100000000001</v>
      </c>
      <c r="E158" s="1">
        <v>2130.35</v>
      </c>
      <c r="F158" s="1">
        <v>91.54</v>
      </c>
      <c r="G158" s="1">
        <v>111.67</v>
      </c>
      <c r="H158" s="1">
        <v>60980.25</v>
      </c>
      <c r="I158" s="1">
        <v>1184906.3600000001</v>
      </c>
      <c r="J158" s="1">
        <v>1076996.27</v>
      </c>
      <c r="K158" s="1">
        <v>116.63</v>
      </c>
      <c r="L158" s="1">
        <v>0.98766042499999995</v>
      </c>
      <c r="M158" s="1">
        <v>1074979.1200000001</v>
      </c>
      <c r="N158" s="1">
        <v>1295484.54</v>
      </c>
      <c r="O158" s="1">
        <v>1074311.3700000001</v>
      </c>
      <c r="P158" s="1">
        <v>74</v>
      </c>
      <c r="Q158" s="1">
        <v>792017.44</v>
      </c>
      <c r="R158" s="1">
        <v>5007.42</v>
      </c>
      <c r="S158" s="14">
        <f t="shared" si="8"/>
        <v>1675984908.2632623</v>
      </c>
      <c r="T158" s="14">
        <f t="shared" si="9"/>
        <v>-64961046.263262272</v>
      </c>
      <c r="W158">
        <v>81.597222222222229</v>
      </c>
      <c r="X158">
        <v>1478464989</v>
      </c>
    </row>
    <row r="159" spans="1:38" x14ac:dyDescent="0.3">
      <c r="A159" s="7">
        <v>45323</v>
      </c>
      <c r="B159" s="5">
        <v>1675307061</v>
      </c>
      <c r="C159" s="1">
        <v>128.38</v>
      </c>
      <c r="D159" s="1">
        <v>1440.74</v>
      </c>
      <c r="E159" s="1">
        <v>2164.65</v>
      </c>
      <c r="F159" s="1">
        <v>78.31</v>
      </c>
      <c r="G159" s="1">
        <v>111.89</v>
      </c>
      <c r="H159" s="1">
        <v>81307</v>
      </c>
      <c r="I159" s="1">
        <v>950845.67</v>
      </c>
      <c r="J159" s="1">
        <v>828870.85</v>
      </c>
      <c r="K159" s="1">
        <v>117.24</v>
      </c>
      <c r="L159" s="1">
        <v>0.91214731299999996</v>
      </c>
      <c r="M159" s="1">
        <v>872736.75</v>
      </c>
      <c r="N159" s="1">
        <v>938132.58</v>
      </c>
      <c r="O159" s="1">
        <v>628920</v>
      </c>
      <c r="P159" s="1">
        <v>77</v>
      </c>
      <c r="Q159" s="1">
        <v>680397.64</v>
      </c>
      <c r="R159" s="1">
        <v>3255.9</v>
      </c>
      <c r="S159" s="14">
        <f t="shared" si="8"/>
        <v>1868067789.875586</v>
      </c>
      <c r="T159" s="14">
        <f t="shared" si="9"/>
        <v>-192760728.87558603</v>
      </c>
      <c r="W159">
        <v>82.291666666666671</v>
      </c>
      <c r="X159">
        <v>1515601165</v>
      </c>
      <c r="AL159">
        <v>1</v>
      </c>
    </row>
    <row r="160" spans="1:38" x14ac:dyDescent="0.3">
      <c r="A160" s="7">
        <v>45352</v>
      </c>
      <c r="B160" s="5">
        <v>1747846324</v>
      </c>
      <c r="C160" s="1">
        <v>127.22</v>
      </c>
      <c r="D160" s="1">
        <v>1279.21</v>
      </c>
      <c r="E160" s="1">
        <v>1820.27</v>
      </c>
      <c r="F160" s="1">
        <v>92.95</v>
      </c>
      <c r="G160" s="1">
        <v>112.45</v>
      </c>
      <c r="H160" s="1">
        <v>39019.9</v>
      </c>
      <c r="I160" s="1">
        <v>1164680.72</v>
      </c>
      <c r="J160" s="1">
        <v>1119077.9099999999</v>
      </c>
      <c r="K160" s="1">
        <v>117.47</v>
      </c>
      <c r="L160" s="1">
        <v>0.91214731299999996</v>
      </c>
      <c r="M160" s="1">
        <v>960780.38</v>
      </c>
      <c r="N160" s="1">
        <v>1499304.65</v>
      </c>
      <c r="O160" s="1">
        <v>934606.69</v>
      </c>
      <c r="P160" s="1">
        <v>80.489999999999995</v>
      </c>
      <c r="Q160" s="1">
        <v>864000.03</v>
      </c>
      <c r="R160" s="1">
        <v>5511.31</v>
      </c>
      <c r="S160" s="14">
        <f t="shared" si="8"/>
        <v>1775531267.3165355</v>
      </c>
      <c r="T160" s="14">
        <f t="shared" si="9"/>
        <v>-27684943.316535473</v>
      </c>
      <c r="W160">
        <v>82.986111111111114</v>
      </c>
      <c r="X160">
        <v>1857201428</v>
      </c>
    </row>
    <row r="161" spans="1:24" x14ac:dyDescent="0.3">
      <c r="A161" s="7">
        <v>45383</v>
      </c>
      <c r="B161" s="5">
        <v>1839732455</v>
      </c>
      <c r="C161" s="1">
        <v>135.88</v>
      </c>
      <c r="D161" s="1">
        <v>1189.17</v>
      </c>
      <c r="E161" s="1">
        <v>1803.16</v>
      </c>
      <c r="F161" s="1">
        <v>87.6</v>
      </c>
      <c r="G161" s="1">
        <v>112.34</v>
      </c>
      <c r="H161" s="1">
        <v>35699.1</v>
      </c>
      <c r="I161" s="1">
        <v>1005378.63</v>
      </c>
      <c r="J161" s="1">
        <v>1003972.49</v>
      </c>
      <c r="K161" s="1">
        <v>116.82</v>
      </c>
      <c r="L161" s="1">
        <v>0.91214731299999996</v>
      </c>
      <c r="M161" s="1">
        <v>952496.79</v>
      </c>
      <c r="N161" s="1">
        <v>1224645.49</v>
      </c>
      <c r="O161" s="1">
        <v>768492.47</v>
      </c>
      <c r="P161" s="1">
        <v>84.59</v>
      </c>
      <c r="Q161" s="1">
        <v>734178.78</v>
      </c>
      <c r="R161" s="1">
        <v>5987.24</v>
      </c>
      <c r="S161" s="14">
        <f t="shared" si="8"/>
        <v>1793058005.2541327</v>
      </c>
      <c r="T161" s="14">
        <f t="shared" si="9"/>
        <v>46674449.745867252</v>
      </c>
      <c r="W161">
        <v>83.680555555555557</v>
      </c>
      <c r="X161">
        <v>1859082729</v>
      </c>
    </row>
    <row r="162" spans="1:24" x14ac:dyDescent="0.3">
      <c r="A162" s="7">
        <v>45413</v>
      </c>
      <c r="B162" s="5">
        <v>1956918811</v>
      </c>
      <c r="C162" s="1">
        <v>130.51</v>
      </c>
      <c r="D162" s="1">
        <v>1358.71</v>
      </c>
      <c r="E162" s="1">
        <v>2643.69</v>
      </c>
      <c r="F162" s="1">
        <v>97.92</v>
      </c>
      <c r="G162" s="1">
        <v>112.57</v>
      </c>
      <c r="H162" s="1">
        <v>39211</v>
      </c>
      <c r="I162" s="1">
        <v>1079386.28</v>
      </c>
      <c r="J162" s="1">
        <v>916158.16</v>
      </c>
      <c r="K162" s="1">
        <v>117.08</v>
      </c>
      <c r="L162" s="1">
        <v>1.044546159</v>
      </c>
      <c r="M162" s="1">
        <v>967853.74</v>
      </c>
      <c r="N162" s="1">
        <v>1421648.8</v>
      </c>
      <c r="O162" s="1">
        <v>834832.24</v>
      </c>
      <c r="P162" s="1">
        <v>78.81</v>
      </c>
      <c r="Q162" s="1">
        <v>826125.56</v>
      </c>
      <c r="R162" s="1">
        <v>5362.25</v>
      </c>
      <c r="S162" s="14">
        <f t="shared" ref="S162:S181" si="10">$W$38+SUMPRODUCT($X$38:$AM$38,C162:R162)</f>
        <v>1927028388.4592175</v>
      </c>
      <c r="T162" s="14">
        <f t="shared" ref="T162:T181" si="11">B162-S162</f>
        <v>29890422.540782452</v>
      </c>
      <c r="W162">
        <v>84.375</v>
      </c>
      <c r="X162">
        <v>2183396256</v>
      </c>
    </row>
    <row r="163" spans="1:24" x14ac:dyDescent="0.3">
      <c r="A163" s="7">
        <v>45444</v>
      </c>
      <c r="B163" s="5">
        <v>2578214483</v>
      </c>
      <c r="C163" s="1">
        <v>131.22</v>
      </c>
      <c r="D163" s="1">
        <v>1769.43</v>
      </c>
      <c r="E163" s="1">
        <v>3438.5</v>
      </c>
      <c r="F163" s="1">
        <v>93.75</v>
      </c>
      <c r="G163" s="1">
        <v>111.78</v>
      </c>
      <c r="H163" s="1">
        <v>40731.599999999999</v>
      </c>
      <c r="I163" s="1">
        <v>1127193.3600000001</v>
      </c>
      <c r="J163" s="1">
        <v>1014740.23</v>
      </c>
      <c r="K163" s="1">
        <v>116.69</v>
      </c>
      <c r="L163" s="1">
        <v>1.044546159</v>
      </c>
      <c r="M163" s="1">
        <v>947606.07</v>
      </c>
      <c r="N163" s="1">
        <v>1392360.25</v>
      </c>
      <c r="O163" s="1">
        <v>959405.93</v>
      </c>
      <c r="P163" s="1">
        <v>78.89</v>
      </c>
      <c r="Q163" s="1">
        <v>842533.94</v>
      </c>
      <c r="R163" s="1">
        <v>5946.13</v>
      </c>
      <c r="S163" s="14">
        <f t="shared" si="10"/>
        <v>2417143328.7262549</v>
      </c>
      <c r="T163" s="14">
        <f t="shared" si="11"/>
        <v>161071154.27374506</v>
      </c>
      <c r="W163">
        <v>85.069444444444443</v>
      </c>
      <c r="X163">
        <v>2195700749</v>
      </c>
    </row>
    <row r="164" spans="1:24" x14ac:dyDescent="0.3">
      <c r="A164" s="7">
        <v>45474</v>
      </c>
      <c r="B164" s="5">
        <v>3061656202</v>
      </c>
      <c r="C164" s="1">
        <v>131.58000000000001</v>
      </c>
      <c r="D164" s="1">
        <v>2107.66</v>
      </c>
      <c r="E164" s="1">
        <v>3599.74</v>
      </c>
      <c r="F164" s="1">
        <v>96.12</v>
      </c>
      <c r="G164" s="1">
        <v>112.45</v>
      </c>
      <c r="H164" s="1">
        <v>37757.4</v>
      </c>
      <c r="I164" s="1">
        <v>979302.56</v>
      </c>
      <c r="J164" s="1">
        <v>921311.11</v>
      </c>
      <c r="K164" s="1">
        <v>118.06</v>
      </c>
      <c r="L164" s="1">
        <v>1.044546159</v>
      </c>
      <c r="M164" s="1">
        <v>837889.45</v>
      </c>
      <c r="N164" s="1">
        <v>1227305.76</v>
      </c>
      <c r="O164" s="1">
        <v>762131.65</v>
      </c>
      <c r="P164" s="1">
        <v>80.540000000000006</v>
      </c>
      <c r="Q164" s="1">
        <v>738124.80000000005</v>
      </c>
      <c r="R164" s="1">
        <v>7014.06</v>
      </c>
      <c r="S164" s="14">
        <f t="shared" si="10"/>
        <v>2815249971.9044499</v>
      </c>
      <c r="T164" s="14">
        <f t="shared" si="11"/>
        <v>246406230.09555006</v>
      </c>
      <c r="W164">
        <v>85.763888888888886</v>
      </c>
      <c r="X164">
        <v>2212407266</v>
      </c>
    </row>
    <row r="165" spans="1:24" x14ac:dyDescent="0.3">
      <c r="A165" s="7">
        <v>45505</v>
      </c>
      <c r="B165" s="5">
        <v>3065907209</v>
      </c>
      <c r="C165" s="1">
        <v>133.75</v>
      </c>
      <c r="D165" s="1">
        <v>2067.79</v>
      </c>
      <c r="E165" s="1">
        <v>3185.79</v>
      </c>
      <c r="F165" s="1">
        <v>102.58</v>
      </c>
      <c r="G165" s="1">
        <v>113.58</v>
      </c>
      <c r="H165" s="1">
        <v>38725.800000000003</v>
      </c>
      <c r="I165" s="1">
        <v>1086573.01</v>
      </c>
      <c r="J165" s="1">
        <v>915849.1</v>
      </c>
      <c r="K165" s="1">
        <v>117.57</v>
      </c>
      <c r="L165" s="1">
        <v>1.0556461029999999</v>
      </c>
      <c r="M165" s="1">
        <v>989045.13</v>
      </c>
      <c r="N165" s="1">
        <v>1326410.99</v>
      </c>
      <c r="O165" s="1">
        <v>805924.05</v>
      </c>
      <c r="P165" s="1">
        <v>75.55</v>
      </c>
      <c r="Q165" s="1">
        <v>833737.26</v>
      </c>
      <c r="R165" s="1">
        <v>5405.36</v>
      </c>
      <c r="S165" s="14">
        <f t="shared" si="10"/>
        <v>2810248294.473187</v>
      </c>
      <c r="T165" s="14">
        <f t="shared" si="11"/>
        <v>255658914.52681303</v>
      </c>
      <c r="W165">
        <v>86.458333333333343</v>
      </c>
      <c r="X165">
        <v>2278603143</v>
      </c>
    </row>
    <row r="166" spans="1:24" x14ac:dyDescent="0.3">
      <c r="A166" s="7">
        <v>45536</v>
      </c>
      <c r="B166" s="5">
        <v>2540128221</v>
      </c>
      <c r="C166" s="1">
        <v>132.19999999999999</v>
      </c>
      <c r="D166" s="1">
        <v>1777.85</v>
      </c>
      <c r="E166" s="1">
        <v>2434.71</v>
      </c>
      <c r="F166" s="1">
        <v>99.91</v>
      </c>
      <c r="G166" s="1">
        <v>114.25</v>
      </c>
      <c r="H166" s="1">
        <v>41112.300000000003</v>
      </c>
      <c r="I166" s="1">
        <v>854589.9</v>
      </c>
      <c r="J166" s="1">
        <v>897177.41</v>
      </c>
      <c r="K166" s="1">
        <v>118.37</v>
      </c>
      <c r="L166" s="1">
        <v>1.0556461029999999</v>
      </c>
      <c r="M166" s="1">
        <v>760034.42</v>
      </c>
      <c r="N166" s="1">
        <v>1250126.1100000001</v>
      </c>
      <c r="O166" s="1">
        <v>940851.3</v>
      </c>
      <c r="P166" s="1">
        <v>69.55</v>
      </c>
      <c r="Q166" s="1">
        <v>683105.98</v>
      </c>
      <c r="R166" s="1">
        <v>5776.2</v>
      </c>
      <c r="S166" s="14">
        <f t="shared" si="10"/>
        <v>2473902184.9122853</v>
      </c>
      <c r="T166" s="14">
        <f t="shared" si="11"/>
        <v>66226036.087714672</v>
      </c>
      <c r="W166">
        <v>87.152777777777786</v>
      </c>
      <c r="X166">
        <v>2326526933</v>
      </c>
    </row>
    <row r="167" spans="1:24" x14ac:dyDescent="0.3">
      <c r="A167" s="7">
        <v>45566</v>
      </c>
      <c r="B167" s="5">
        <v>2315091578</v>
      </c>
      <c r="C167" s="1">
        <v>132.81</v>
      </c>
      <c r="D167" s="1">
        <v>1416.2</v>
      </c>
      <c r="E167" s="1">
        <v>2103.35</v>
      </c>
      <c r="F167" s="1">
        <v>100.53</v>
      </c>
      <c r="G167" s="1">
        <v>113.92</v>
      </c>
      <c r="H167" s="1">
        <v>45396.4</v>
      </c>
      <c r="I167" s="1">
        <v>957029.23</v>
      </c>
      <c r="J167" s="1">
        <v>897406.2</v>
      </c>
      <c r="K167" s="1">
        <v>118.7</v>
      </c>
      <c r="L167" s="1">
        <v>1.0556461029999999</v>
      </c>
      <c r="M167" s="1">
        <v>794280.22</v>
      </c>
      <c r="N167" s="1">
        <v>1403165.78</v>
      </c>
      <c r="O167" s="1">
        <v>811053.32</v>
      </c>
      <c r="P167" s="1">
        <v>71.599999999999994</v>
      </c>
      <c r="Q167" s="1">
        <v>707861.63</v>
      </c>
      <c r="R167" s="1">
        <v>6293.23</v>
      </c>
      <c r="S167" s="14">
        <f t="shared" si="10"/>
        <v>2110224483.917851</v>
      </c>
      <c r="T167" s="14">
        <f t="shared" si="11"/>
        <v>204867094.08214903</v>
      </c>
      <c r="W167">
        <v>87.847222222222229</v>
      </c>
      <c r="X167">
        <v>2638482576</v>
      </c>
    </row>
    <row r="168" spans="1:24" x14ac:dyDescent="0.3">
      <c r="A168" s="7">
        <v>45597</v>
      </c>
      <c r="B168" s="5">
        <v>2070071746</v>
      </c>
      <c r="C168" s="1">
        <v>132.29</v>
      </c>
      <c r="D168" s="1">
        <v>1427.33</v>
      </c>
      <c r="E168" s="1">
        <v>2256.17</v>
      </c>
      <c r="F168" s="1">
        <v>102.48</v>
      </c>
      <c r="G168" s="1">
        <v>113.92</v>
      </c>
      <c r="H168" s="1">
        <v>43763</v>
      </c>
      <c r="I168" s="1">
        <v>1000763.93</v>
      </c>
      <c r="J168" s="1">
        <v>832304.57</v>
      </c>
      <c r="K168" s="1">
        <v>119.16</v>
      </c>
      <c r="L168" s="1">
        <v>0.98766042499999995</v>
      </c>
      <c r="M168" s="1">
        <v>985429.29</v>
      </c>
      <c r="N168" s="1">
        <v>1174701.5900000001</v>
      </c>
      <c r="O168" s="1">
        <v>911505.53</v>
      </c>
      <c r="P168" s="1">
        <v>69.69</v>
      </c>
      <c r="Q168" s="1">
        <v>818208.5</v>
      </c>
      <c r="R168" s="1">
        <v>6294.48</v>
      </c>
      <c r="S168" s="14">
        <f t="shared" si="10"/>
        <v>2110581600.566709</v>
      </c>
      <c r="T168" s="14">
        <f t="shared" si="11"/>
        <v>-40509854.566709042</v>
      </c>
      <c r="W168">
        <v>88.541666666666671</v>
      </c>
      <c r="X168">
        <v>2647099346</v>
      </c>
    </row>
    <row r="169" spans="1:24" x14ac:dyDescent="0.3">
      <c r="A169" s="7">
        <v>45627</v>
      </c>
      <c r="B169" s="5">
        <v>2142035611</v>
      </c>
      <c r="C169" s="1">
        <v>128.87</v>
      </c>
      <c r="D169" s="1">
        <v>1489.39</v>
      </c>
      <c r="E169" s="1">
        <v>2372.84</v>
      </c>
      <c r="F169" s="1">
        <v>108.38</v>
      </c>
      <c r="G169" s="1">
        <v>113.69</v>
      </c>
      <c r="H169" s="1">
        <v>45171.5</v>
      </c>
      <c r="I169" s="1">
        <v>1033078.36</v>
      </c>
      <c r="J169" s="1">
        <v>938309.67</v>
      </c>
      <c r="K169" s="1">
        <v>119.7</v>
      </c>
      <c r="L169" s="1">
        <v>0.98766042499999995</v>
      </c>
      <c r="M169" s="1">
        <v>1056225.58</v>
      </c>
      <c r="N169" s="1">
        <v>1141616.6200000001</v>
      </c>
      <c r="O169" s="1">
        <v>1102134.6200000001</v>
      </c>
      <c r="P169" s="1">
        <v>69.790000000000006</v>
      </c>
      <c r="Q169" s="1">
        <v>812223.82</v>
      </c>
      <c r="R169" s="1">
        <v>7946.42</v>
      </c>
      <c r="S169" s="14">
        <f t="shared" si="10"/>
        <v>2189770500.7888722</v>
      </c>
      <c r="T169" s="14">
        <f t="shared" si="11"/>
        <v>-47734889.788872242</v>
      </c>
      <c r="W169">
        <v>89.236111111111114</v>
      </c>
      <c r="X169">
        <v>2991786668</v>
      </c>
    </row>
    <row r="170" spans="1:24" x14ac:dyDescent="0.3">
      <c r="A170" s="7">
        <v>45658</v>
      </c>
      <c r="B170" s="5">
        <v>2266553000</v>
      </c>
      <c r="C170" s="1">
        <v>134</v>
      </c>
      <c r="D170" s="1">
        <v>930</v>
      </c>
      <c r="E170" s="1">
        <v>2528.41</v>
      </c>
      <c r="F170" s="1">
        <v>96.12</v>
      </c>
      <c r="G170" s="1">
        <v>110.6</v>
      </c>
      <c r="H170" s="1">
        <v>41000</v>
      </c>
      <c r="I170" s="1">
        <v>753203.77599999995</v>
      </c>
      <c r="J170" s="1">
        <v>654959.56400000001</v>
      </c>
      <c r="K170" s="1">
        <v>122</v>
      </c>
      <c r="L170" s="1">
        <v>0.98766042499999995</v>
      </c>
      <c r="M170" s="1">
        <v>774209.29</v>
      </c>
      <c r="N170" s="1">
        <v>1125411.2690000001</v>
      </c>
      <c r="O170" s="1">
        <v>778664.15099999995</v>
      </c>
      <c r="P170" s="1">
        <v>75.69</v>
      </c>
      <c r="Q170" s="1">
        <v>657862.21699999995</v>
      </c>
      <c r="R170" s="1">
        <v>7677.3</v>
      </c>
      <c r="S170" s="14">
        <f t="shared" si="10"/>
        <v>1536557730.3379493</v>
      </c>
      <c r="T170" s="14">
        <f t="shared" si="11"/>
        <v>729995269.66205072</v>
      </c>
      <c r="W170">
        <v>89.930555555555557</v>
      </c>
      <c r="X170">
        <v>3098017092</v>
      </c>
    </row>
    <row r="171" spans="1:24" x14ac:dyDescent="0.3">
      <c r="A171" s="7">
        <v>45689</v>
      </c>
      <c r="B171" s="5">
        <v>1815909000</v>
      </c>
      <c r="C171" s="1">
        <v>137.6</v>
      </c>
      <c r="D171" s="1">
        <v>1387.16</v>
      </c>
      <c r="E171" s="1">
        <v>2321.7600000000002</v>
      </c>
      <c r="F171" s="1">
        <v>92.68</v>
      </c>
      <c r="G171" s="1">
        <v>105.7</v>
      </c>
      <c r="H171" s="1">
        <v>42730</v>
      </c>
      <c r="I171" s="1">
        <v>1107424.442</v>
      </c>
      <c r="J171" s="1">
        <v>822326.81599999999</v>
      </c>
      <c r="K171" s="1">
        <v>123.9</v>
      </c>
      <c r="L171" s="1">
        <v>0.91214731299999996</v>
      </c>
      <c r="M171" s="1">
        <v>894112.65</v>
      </c>
      <c r="N171" s="1">
        <v>1179794.355</v>
      </c>
      <c r="O171" s="1">
        <v>768350.56700000004</v>
      </c>
      <c r="P171" s="1">
        <v>71.53</v>
      </c>
      <c r="Q171" s="1">
        <v>715126.51800000004</v>
      </c>
      <c r="R171" s="1">
        <v>9886.2000000000007</v>
      </c>
      <c r="S171" s="14">
        <f t="shared" si="10"/>
        <v>2328357376.8870225</v>
      </c>
      <c r="T171" s="14">
        <f t="shared" si="11"/>
        <v>-512448376.8870225</v>
      </c>
      <c r="W171">
        <v>90.625</v>
      </c>
      <c r="X171">
        <v>3415123138</v>
      </c>
    </row>
    <row r="172" spans="1:24" x14ac:dyDescent="0.3">
      <c r="A172" s="7">
        <v>45717</v>
      </c>
      <c r="B172" s="5">
        <v>1774512000</v>
      </c>
      <c r="C172" s="1">
        <v>136.19999999999999</v>
      </c>
      <c r="D172" s="1">
        <v>1151</v>
      </c>
      <c r="E172" s="1">
        <v>1586.92</v>
      </c>
      <c r="F172" s="1">
        <v>105.27</v>
      </c>
      <c r="G172" s="1">
        <v>119.1</v>
      </c>
      <c r="H172" s="1">
        <v>40940</v>
      </c>
      <c r="I172" s="1">
        <v>992593.96200000006</v>
      </c>
      <c r="J172" s="1">
        <v>928868.43500000006</v>
      </c>
      <c r="K172" s="1">
        <v>124.8</v>
      </c>
      <c r="L172" s="1">
        <v>0.91214731299999996</v>
      </c>
      <c r="M172" s="1">
        <v>1182738.22</v>
      </c>
      <c r="N172" s="1">
        <v>1355662.916</v>
      </c>
      <c r="O172" s="1">
        <v>685573.92099999997</v>
      </c>
      <c r="P172" s="1">
        <v>68.239999999999995</v>
      </c>
      <c r="Q172" s="1">
        <v>778381.61199999996</v>
      </c>
      <c r="R172" s="1">
        <v>5327.4</v>
      </c>
      <c r="S172" s="14">
        <f t="shared" si="10"/>
        <v>1778332962.0619855</v>
      </c>
      <c r="T172" s="14">
        <f t="shared" si="11"/>
        <v>-3820962.0619854927</v>
      </c>
      <c r="W172">
        <v>91.319444444444443</v>
      </c>
      <c r="X172">
        <v>3783663232</v>
      </c>
    </row>
    <row r="173" spans="1:24" x14ac:dyDescent="0.3">
      <c r="A173" s="7">
        <v>45748</v>
      </c>
      <c r="B173" s="5">
        <v>1652499000</v>
      </c>
      <c r="C173" s="1">
        <v>137.9</v>
      </c>
      <c r="D173" s="1">
        <v>1050</v>
      </c>
      <c r="E173" s="1">
        <v>1368.44</v>
      </c>
      <c r="F173" s="1">
        <v>108.74</v>
      </c>
      <c r="G173" s="1">
        <v>118.9</v>
      </c>
      <c r="H173" s="1">
        <v>37174</v>
      </c>
      <c r="I173" s="1">
        <v>1095987.199</v>
      </c>
      <c r="J173" s="1">
        <v>818978.21699999995</v>
      </c>
      <c r="K173" s="1">
        <v>124.2</v>
      </c>
      <c r="L173" s="1">
        <v>0.91214731299999996</v>
      </c>
      <c r="M173" s="1">
        <v>903283.23</v>
      </c>
      <c r="N173" s="1">
        <v>1212866.45</v>
      </c>
      <c r="O173" s="1">
        <v>980992.77500000002</v>
      </c>
      <c r="P173" s="1">
        <v>63.13</v>
      </c>
      <c r="Q173" s="1">
        <v>698330.46200000006</v>
      </c>
      <c r="R173" s="1">
        <v>4686.1000000000004</v>
      </c>
      <c r="S173" s="14">
        <f t="shared" si="10"/>
        <v>1750303420.2639937</v>
      </c>
      <c r="T173" s="14">
        <f t="shared" si="11"/>
        <v>-97804420.26399374</v>
      </c>
      <c r="W173">
        <v>92.013888888888886</v>
      </c>
      <c r="X173">
        <v>3855049466</v>
      </c>
    </row>
    <row r="174" spans="1:24" x14ac:dyDescent="0.3">
      <c r="A174" s="7">
        <v>45778</v>
      </c>
      <c r="B174" s="5">
        <v>1653032000</v>
      </c>
      <c r="C174" s="1">
        <v>136.4</v>
      </c>
      <c r="D174" s="1">
        <v>1180</v>
      </c>
      <c r="E174" s="1">
        <v>2214.73</v>
      </c>
      <c r="F174" s="1">
        <v>119.69</v>
      </c>
      <c r="G174" s="1">
        <v>121.5</v>
      </c>
      <c r="H174" s="1">
        <v>41326</v>
      </c>
      <c r="I174" s="1">
        <v>1016201.406</v>
      </c>
      <c r="J174" s="1">
        <v>795589.89500000002</v>
      </c>
      <c r="K174" s="1">
        <v>122.6</v>
      </c>
      <c r="L174" s="1">
        <v>1.044546159</v>
      </c>
      <c r="M174" s="1">
        <v>944995.3</v>
      </c>
      <c r="N174" s="1">
        <v>1190838.0460000001</v>
      </c>
      <c r="O174" s="1">
        <v>968728.57900000003</v>
      </c>
      <c r="P174" s="1">
        <v>62.25</v>
      </c>
      <c r="Q174" s="1">
        <v>751484.33600000001</v>
      </c>
      <c r="R174" s="1">
        <v>4227.7</v>
      </c>
      <c r="S174" s="14">
        <f t="shared" si="10"/>
        <v>1832629593.7260671</v>
      </c>
      <c r="T174" s="14">
        <f t="shared" si="11"/>
        <v>-179597593.72606707</v>
      </c>
      <c r="W174">
        <v>92.708333333333343</v>
      </c>
      <c r="X174">
        <v>3897474585</v>
      </c>
    </row>
    <row r="175" spans="1:24" x14ac:dyDescent="0.3">
      <c r="A175" s="7">
        <v>45809</v>
      </c>
      <c r="B175" s="5">
        <v>1889049000</v>
      </c>
      <c r="C175" s="1">
        <v>135.4</v>
      </c>
      <c r="D175" s="1">
        <v>1277.46</v>
      </c>
      <c r="E175" s="1">
        <v>1842.19</v>
      </c>
      <c r="F175" s="1">
        <v>111.17</v>
      </c>
      <c r="G175" s="1">
        <v>122.7</v>
      </c>
      <c r="H175" s="1">
        <v>42287</v>
      </c>
      <c r="I175" s="1">
        <v>908463.28399999999</v>
      </c>
      <c r="J175" s="1">
        <v>807748.98100000003</v>
      </c>
      <c r="K175" s="1">
        <v>123.5</v>
      </c>
      <c r="L175" s="1">
        <v>1.044546159</v>
      </c>
      <c r="M175" s="1">
        <v>847337.28</v>
      </c>
      <c r="N175" s="1">
        <v>1094517.9410000001</v>
      </c>
      <c r="O175" s="1">
        <v>958072.549</v>
      </c>
      <c r="P175" s="1">
        <v>68.17</v>
      </c>
      <c r="Q175" s="1">
        <v>730359.59400000004</v>
      </c>
      <c r="R175" s="1">
        <v>5076</v>
      </c>
      <c r="S175" s="14">
        <f t="shared" si="10"/>
        <v>1976113756.9880786</v>
      </c>
      <c r="T175" s="14">
        <f t="shared" si="11"/>
        <v>-87064756.988078594</v>
      </c>
      <c r="W175">
        <v>93.402777777777786</v>
      </c>
      <c r="X175">
        <v>3897862783</v>
      </c>
    </row>
    <row r="176" spans="1:24" x14ac:dyDescent="0.3">
      <c r="A176" s="7">
        <v>45839</v>
      </c>
      <c r="B176" s="5">
        <v>2098073000</v>
      </c>
      <c r="C176" s="1">
        <v>138.5</v>
      </c>
      <c r="D176" s="1">
        <v>1180</v>
      </c>
      <c r="E176" s="1">
        <v>1516.38</v>
      </c>
      <c r="F176" s="1">
        <v>114.12</v>
      </c>
      <c r="G176" s="1">
        <v>120.7</v>
      </c>
      <c r="H176" s="1">
        <v>38780</v>
      </c>
      <c r="I176" s="1">
        <v>894183.11899999995</v>
      </c>
      <c r="J176" s="1">
        <v>788581.42700000003</v>
      </c>
      <c r="K176" s="1">
        <v>124.7</v>
      </c>
      <c r="L176" s="1">
        <v>1.044546159</v>
      </c>
      <c r="M176" s="1">
        <v>975536.66</v>
      </c>
      <c r="N176" s="1">
        <v>1194587.0959999999</v>
      </c>
      <c r="O176" s="1">
        <v>728090.01699999999</v>
      </c>
      <c r="P176" s="1">
        <v>68.47</v>
      </c>
      <c r="Q176" s="1">
        <v>679047.9</v>
      </c>
      <c r="R176" s="1">
        <v>5198.7</v>
      </c>
      <c r="S176" s="14">
        <f t="shared" si="10"/>
        <v>1914245306.1488996</v>
      </c>
      <c r="T176" s="14">
        <f t="shared" si="11"/>
        <v>183827693.85110044</v>
      </c>
      <c r="W176">
        <v>94.097222222222229</v>
      </c>
      <c r="X176">
        <v>3967132108</v>
      </c>
    </row>
    <row r="177" spans="1:24" x14ac:dyDescent="0.3">
      <c r="A177" s="7">
        <v>45870</v>
      </c>
      <c r="B177" s="5">
        <v>1935223000</v>
      </c>
      <c r="C177" s="1">
        <v>137.30000000000001</v>
      </c>
      <c r="D177" s="1">
        <v>1156.32</v>
      </c>
      <c r="E177" s="1">
        <v>1289.6400000000001</v>
      </c>
      <c r="F177" s="1">
        <v>116.6</v>
      </c>
      <c r="G177" s="1">
        <v>124</v>
      </c>
      <c r="H177" s="1">
        <v>39668</v>
      </c>
      <c r="I177" s="1">
        <v>1081856.024</v>
      </c>
      <c r="J177" s="1">
        <v>883828.38600000006</v>
      </c>
      <c r="K177" s="1">
        <v>125.4</v>
      </c>
      <c r="L177" s="1">
        <v>1.0556461029999999</v>
      </c>
      <c r="M177" s="1">
        <v>960716.88</v>
      </c>
      <c r="N177" s="1">
        <v>1129588.3689999999</v>
      </c>
      <c r="O177" s="1">
        <v>974306.77899999998</v>
      </c>
      <c r="P177" s="1">
        <v>64.69</v>
      </c>
      <c r="Q177" s="1">
        <v>720842.527</v>
      </c>
      <c r="R177" s="1">
        <v>4672.6000000000004</v>
      </c>
      <c r="S177" s="14">
        <f t="shared" si="10"/>
        <v>1932731810.2901807</v>
      </c>
      <c r="T177" s="14">
        <f t="shared" si="11"/>
        <v>2491189.7098193169</v>
      </c>
      <c r="W177">
        <v>94.791666666666671</v>
      </c>
      <c r="X177">
        <v>3976051170</v>
      </c>
    </row>
    <row r="178" spans="1:24" x14ac:dyDescent="0.3">
      <c r="A178" s="7">
        <v>45901</v>
      </c>
      <c r="B178" s="5">
        <v>1773970000</v>
      </c>
      <c r="C178" s="1">
        <v>136.80000000000001</v>
      </c>
      <c r="D178" s="1">
        <v>1140</v>
      </c>
      <c r="E178" s="1">
        <v>1132.8699999999999</v>
      </c>
      <c r="F178" s="1">
        <v>116.31</v>
      </c>
      <c r="G178" s="1">
        <v>119.3</v>
      </c>
      <c r="H178" s="1">
        <v>41971</v>
      </c>
      <c r="I178" s="1">
        <v>1004701.502</v>
      </c>
      <c r="J178" s="1">
        <v>754406.99899999995</v>
      </c>
      <c r="K178" s="1">
        <v>125.7</v>
      </c>
      <c r="L178" s="1">
        <v>1.0556461029999999</v>
      </c>
      <c r="M178" s="1">
        <v>953572.75</v>
      </c>
      <c r="N178" s="1">
        <v>1229167.1089999999</v>
      </c>
      <c r="O178" s="1">
        <v>883158.61600000004</v>
      </c>
      <c r="P178" s="1">
        <v>63.96</v>
      </c>
      <c r="Q178" s="1">
        <v>620021.08200000005</v>
      </c>
      <c r="R178" s="1">
        <v>5508</v>
      </c>
      <c r="S178" s="14">
        <f t="shared" si="10"/>
        <v>1940815449.4868598</v>
      </c>
      <c r="T178" s="14">
        <f t="shared" si="11"/>
        <v>-166845449.4868598</v>
      </c>
      <c r="W178">
        <v>95.486111111111114</v>
      </c>
      <c r="X178">
        <v>3983456756</v>
      </c>
    </row>
    <row r="179" spans="1:24" x14ac:dyDescent="0.3">
      <c r="A179" s="7">
        <v>45931</v>
      </c>
      <c r="B179" s="5">
        <v>1610179000</v>
      </c>
      <c r="C179" s="1">
        <v>138.1</v>
      </c>
      <c r="D179" s="1">
        <v>973</v>
      </c>
      <c r="E179" s="1">
        <v>1478.52</v>
      </c>
      <c r="F179" s="1">
        <v>114.75</v>
      </c>
      <c r="G179" s="1">
        <v>124.5</v>
      </c>
      <c r="H179" s="1">
        <v>46291</v>
      </c>
      <c r="I179" s="1">
        <v>918759.81299999997</v>
      </c>
      <c r="J179" s="1">
        <v>761189.71799999999</v>
      </c>
      <c r="K179" s="1">
        <v>126</v>
      </c>
      <c r="L179" s="1">
        <v>1.0556461029999999</v>
      </c>
      <c r="M179" s="1">
        <v>794051.16</v>
      </c>
      <c r="N179" s="1">
        <v>884856.223</v>
      </c>
      <c r="O179" s="1">
        <v>708162.34699999995</v>
      </c>
      <c r="P179" s="1">
        <v>60.81</v>
      </c>
      <c r="Q179" s="1">
        <v>624826.28700000001</v>
      </c>
      <c r="R179" s="1">
        <v>3746.7</v>
      </c>
      <c r="S179" s="14">
        <f t="shared" si="10"/>
        <v>1638192813.7977195</v>
      </c>
      <c r="T179" s="14">
        <f t="shared" si="11"/>
        <v>-28013813.797719479</v>
      </c>
      <c r="W179">
        <v>96.180555555555557</v>
      </c>
      <c r="X179">
        <v>4025509487</v>
      </c>
    </row>
    <row r="180" spans="1:24" x14ac:dyDescent="0.3">
      <c r="A180" s="7">
        <v>45962</v>
      </c>
      <c r="B180" s="5">
        <v>1643934000</v>
      </c>
      <c r="C180" s="1">
        <v>142</v>
      </c>
      <c r="D180" s="1">
        <v>1189</v>
      </c>
      <c r="E180" s="1">
        <v>1456.91</v>
      </c>
      <c r="F180" s="1">
        <v>118.69</v>
      </c>
      <c r="G180" s="1">
        <v>127.3</v>
      </c>
      <c r="H180" s="1">
        <v>43898</v>
      </c>
      <c r="I180" s="1">
        <v>955194.02300000004</v>
      </c>
      <c r="J180" s="1">
        <v>746638.96799999999</v>
      </c>
      <c r="K180" s="1">
        <v>126.2</v>
      </c>
      <c r="L180" s="1">
        <v>0.98766042499999995</v>
      </c>
      <c r="M180" s="1">
        <v>893524.29</v>
      </c>
      <c r="N180" s="1">
        <v>987183.91599999997</v>
      </c>
      <c r="O180" s="1">
        <v>1001403.617</v>
      </c>
      <c r="P180" s="1">
        <v>60.06</v>
      </c>
      <c r="Q180" s="1">
        <v>656147.00399999996</v>
      </c>
      <c r="R180" s="1">
        <v>4395.2</v>
      </c>
      <c r="S180" s="14">
        <f t="shared" si="10"/>
        <v>1985763155.8959022</v>
      </c>
      <c r="T180" s="14">
        <f t="shared" si="11"/>
        <v>-341829155.89590216</v>
      </c>
      <c r="W180">
        <v>96.875</v>
      </c>
      <c r="X180">
        <v>4041802182</v>
      </c>
    </row>
    <row r="181" spans="1:24" x14ac:dyDescent="0.3">
      <c r="A181" s="7">
        <v>45992</v>
      </c>
      <c r="B181" s="5">
        <v>1856222000</v>
      </c>
      <c r="C181" s="1">
        <v>142.1</v>
      </c>
      <c r="D181" s="1">
        <v>1359</v>
      </c>
      <c r="E181" s="1">
        <v>1598.36</v>
      </c>
      <c r="F181" s="1">
        <v>131.76</v>
      </c>
      <c r="G181" s="1">
        <v>142.19999999999999</v>
      </c>
      <c r="H181" s="1">
        <v>45136</v>
      </c>
      <c r="I181" s="1">
        <v>925938.49100000004</v>
      </c>
      <c r="J181" s="1">
        <v>887264.15800000005</v>
      </c>
      <c r="K181" s="1">
        <v>126.1</v>
      </c>
      <c r="L181" s="1">
        <v>0.98766042499999995</v>
      </c>
      <c r="M181" s="1">
        <v>959198.78</v>
      </c>
      <c r="N181" s="1">
        <v>947355.26899999997</v>
      </c>
      <c r="O181" s="1">
        <v>1082502.5020000001</v>
      </c>
      <c r="P181" s="1">
        <v>57.86</v>
      </c>
      <c r="Q181" s="1">
        <v>671609.60699999996</v>
      </c>
      <c r="R181" s="1">
        <v>4070.1</v>
      </c>
      <c r="S181" s="14">
        <f t="shared" si="10"/>
        <v>2099568576.445992</v>
      </c>
      <c r="T181" s="14">
        <f t="shared" si="11"/>
        <v>-243346576.44599199</v>
      </c>
      <c r="W181">
        <v>97.569444444444443</v>
      </c>
      <c r="X181">
        <v>4133509174</v>
      </c>
    </row>
    <row r="182" spans="1:24" x14ac:dyDescent="0.3">
      <c r="W182">
        <v>98.263888888888886</v>
      </c>
      <c r="X182">
        <v>4196674541</v>
      </c>
    </row>
    <row r="183" spans="1:24" x14ac:dyDescent="0.3">
      <c r="W183">
        <v>98.958333333333343</v>
      </c>
      <c r="X183">
        <v>4248997961</v>
      </c>
    </row>
    <row r="184" spans="1:24" ht="16.8" customHeight="1" thickBot="1" x14ac:dyDescent="0.35">
      <c r="W184" s="10">
        <v>99.652777777777786</v>
      </c>
      <c r="X184" s="10">
        <v>4514151564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1"/>
  <sheetViews>
    <sheetView tabSelected="1" topLeftCell="A81" workbookViewId="0">
      <selection activeCell="N24" sqref="N24"/>
    </sheetView>
  </sheetViews>
  <sheetFormatPr defaultRowHeight="16.2" x14ac:dyDescent="0.3"/>
  <cols>
    <col min="1" max="1" width="30" style="21" customWidth="1"/>
    <col min="2" max="2" width="21.5546875" style="21" customWidth="1"/>
    <col min="3" max="5" width="14" style="21" customWidth="1"/>
    <col min="6" max="6" width="26" style="21" customWidth="1"/>
  </cols>
  <sheetData>
    <row r="1" spans="1:6" ht="17.399999999999999" x14ac:dyDescent="0.3">
      <c r="A1" s="22" t="s">
        <v>70</v>
      </c>
      <c r="B1" s="23"/>
      <c r="C1" s="23"/>
      <c r="D1" s="23"/>
      <c r="E1" s="23"/>
      <c r="F1" s="23"/>
    </row>
    <row r="2" spans="1:6" x14ac:dyDescent="0.3">
      <c r="A2" s="24" t="s">
        <v>71</v>
      </c>
    </row>
    <row r="4" spans="1:6" x14ac:dyDescent="0.3">
      <c r="A4" s="25" t="s">
        <v>72</v>
      </c>
      <c r="B4" s="26"/>
      <c r="C4" s="26"/>
      <c r="D4" s="26"/>
      <c r="E4" s="26"/>
      <c r="F4" s="26"/>
    </row>
    <row r="5" spans="1:6" x14ac:dyDescent="0.3">
      <c r="A5" s="27" t="s">
        <v>73</v>
      </c>
      <c r="B5" s="27" t="s">
        <v>74</v>
      </c>
      <c r="C5" s="27" t="s">
        <v>75</v>
      </c>
      <c r="D5" s="27" t="s">
        <v>76</v>
      </c>
      <c r="E5" s="27" t="s">
        <v>77</v>
      </c>
      <c r="F5" s="27" t="s">
        <v>78</v>
      </c>
    </row>
    <row r="6" spans="1:6" x14ac:dyDescent="0.3">
      <c r="A6" t="s">
        <v>79</v>
      </c>
      <c r="B6" s="28">
        <v>40547</v>
      </c>
      <c r="C6" s="29">
        <v>8997.1572269999997</v>
      </c>
      <c r="D6" s="29">
        <v>10398.099609999999</v>
      </c>
      <c r="E6" s="29">
        <v>2085.139893</v>
      </c>
      <c r="F6" s="29">
        <v>20498.720700000002</v>
      </c>
    </row>
    <row r="7" spans="1:6" x14ac:dyDescent="0.3">
      <c r="A7" t="s">
        <v>80</v>
      </c>
      <c r="B7" s="28">
        <v>40724</v>
      </c>
      <c r="C7" s="29">
        <v>8652.5576170000004</v>
      </c>
      <c r="D7" s="29">
        <v>9816.0898440000001</v>
      </c>
      <c r="E7" s="29">
        <v>2100.6899410000001</v>
      </c>
      <c r="F7" s="29">
        <v>18845.869139999999</v>
      </c>
    </row>
    <row r="8" spans="1:6" x14ac:dyDescent="0.3">
      <c r="A8" t="s">
        <v>81</v>
      </c>
      <c r="B8" s="28">
        <v>40906</v>
      </c>
      <c r="C8" s="29">
        <v>7074.7939450000003</v>
      </c>
      <c r="D8" s="29">
        <v>8398.8896480000003</v>
      </c>
      <c r="E8" s="29">
        <v>1825.73999</v>
      </c>
      <c r="F8" s="29">
        <v>15543.929690000001</v>
      </c>
    </row>
    <row r="9" spans="1:6" x14ac:dyDescent="0.3">
      <c r="A9" t="s">
        <v>82</v>
      </c>
      <c r="B9" s="28">
        <v>41089</v>
      </c>
      <c r="C9" s="29">
        <v>7296.251953</v>
      </c>
      <c r="D9" s="29">
        <v>9006.7802730000003</v>
      </c>
      <c r="E9" s="29">
        <v>1854.01001</v>
      </c>
      <c r="F9" s="29">
        <v>17429.980469999999</v>
      </c>
    </row>
    <row r="10" spans="1:6" x14ac:dyDescent="0.3">
      <c r="A10" t="s">
        <v>83</v>
      </c>
      <c r="B10" s="28">
        <v>41271</v>
      </c>
      <c r="C10" s="29">
        <v>7699.4711909999996</v>
      </c>
      <c r="D10" s="29">
        <v>10395.179690000001</v>
      </c>
      <c r="E10" s="29">
        <v>1997.0500489999999</v>
      </c>
      <c r="F10" s="29">
        <v>19444.839840000001</v>
      </c>
    </row>
    <row r="11" spans="1:6" x14ac:dyDescent="0.3">
      <c r="A11" t="s">
        <v>84</v>
      </c>
      <c r="B11" s="28">
        <v>41452</v>
      </c>
      <c r="C11" s="29">
        <v>7883.8696289999998</v>
      </c>
      <c r="D11" s="29">
        <v>13213.549800000001</v>
      </c>
      <c r="E11" s="29">
        <v>1834.6999510000001</v>
      </c>
      <c r="F11" s="29">
        <v>18875.949219999999</v>
      </c>
    </row>
    <row r="12" spans="1:6" x14ac:dyDescent="0.3">
      <c r="A12" t="s">
        <v>85</v>
      </c>
      <c r="B12" s="28">
        <v>41638</v>
      </c>
      <c r="C12" s="29">
        <v>8623.3974610000005</v>
      </c>
      <c r="D12" s="29">
        <v>16291.309569999999</v>
      </c>
      <c r="E12" s="29">
        <v>2011.339966</v>
      </c>
      <c r="F12" s="29">
        <v>21143.009770000001</v>
      </c>
    </row>
    <row r="13" spans="1:6" x14ac:dyDescent="0.3">
      <c r="A13" t="s">
        <v>86</v>
      </c>
      <c r="B13" s="28">
        <v>41820</v>
      </c>
      <c r="C13" s="29">
        <v>9393.0361329999996</v>
      </c>
      <c r="D13" s="29">
        <v>15162.099609999999</v>
      </c>
      <c r="E13" s="29">
        <v>2002.209961</v>
      </c>
      <c r="F13" s="29">
        <v>25413.779299999998</v>
      </c>
    </row>
    <row r="14" spans="1:6" x14ac:dyDescent="0.3">
      <c r="A14" t="s">
        <v>87</v>
      </c>
      <c r="B14" s="28">
        <v>41995</v>
      </c>
      <c r="C14" s="29">
        <v>9094.9658199999994</v>
      </c>
      <c r="D14" s="29">
        <v>17635.140630000002</v>
      </c>
      <c r="E14" s="29">
        <v>1943.119995</v>
      </c>
      <c r="F14" s="29">
        <v>27701.789059999999</v>
      </c>
    </row>
    <row r="15" spans="1:6" x14ac:dyDescent="0.3">
      <c r="A15" t="s">
        <v>88</v>
      </c>
      <c r="B15" s="28">
        <v>42185</v>
      </c>
      <c r="C15" s="29">
        <v>9322.9853519999997</v>
      </c>
      <c r="D15" s="29">
        <v>20235.730469999999</v>
      </c>
      <c r="E15" s="29">
        <v>2074.1999510000001</v>
      </c>
      <c r="F15" s="29">
        <v>27780.83008</v>
      </c>
    </row>
    <row r="16" spans="1:6" x14ac:dyDescent="0.3">
      <c r="A16" t="s">
        <v>89</v>
      </c>
      <c r="B16" s="28">
        <v>42368</v>
      </c>
      <c r="C16" s="29">
        <v>8279.9580079999996</v>
      </c>
      <c r="D16" s="29">
        <v>19033.710940000001</v>
      </c>
      <c r="E16" s="29">
        <v>1961.3100589999999</v>
      </c>
      <c r="F16" s="29">
        <v>25960.029299999998</v>
      </c>
    </row>
    <row r="17" spans="1:6" x14ac:dyDescent="0.3">
      <c r="A17" t="s">
        <v>90</v>
      </c>
      <c r="B17" s="28">
        <v>42551</v>
      </c>
      <c r="C17" s="29">
        <v>8666.5673829999996</v>
      </c>
      <c r="D17" s="29">
        <v>15575.91992</v>
      </c>
      <c r="E17" s="29">
        <v>1970.349976</v>
      </c>
      <c r="F17" s="29">
        <v>26999.720700000002</v>
      </c>
    </row>
    <row r="18" spans="1:6" x14ac:dyDescent="0.3">
      <c r="A18" t="s">
        <v>91</v>
      </c>
      <c r="B18" s="28">
        <v>42733</v>
      </c>
      <c r="C18" s="29">
        <v>9153.0830079999996</v>
      </c>
      <c r="D18" s="29">
        <v>19145.140630000002</v>
      </c>
      <c r="E18" s="29">
        <v>2026.459961</v>
      </c>
      <c r="F18" s="29">
        <v>26366.150389999999</v>
      </c>
    </row>
    <row r="19" spans="1:6" x14ac:dyDescent="0.3">
      <c r="A19" t="s">
        <v>92</v>
      </c>
      <c r="B19" s="28">
        <v>42916</v>
      </c>
      <c r="C19" s="29">
        <v>10395.070309999999</v>
      </c>
      <c r="D19" s="29">
        <v>20033.429690000001</v>
      </c>
      <c r="E19" s="29">
        <v>2391.790039</v>
      </c>
      <c r="F19" s="29">
        <v>30921.609380000002</v>
      </c>
    </row>
    <row r="20" spans="1:6" x14ac:dyDescent="0.3">
      <c r="A20" t="s">
        <v>93</v>
      </c>
      <c r="B20" s="28">
        <v>43097</v>
      </c>
      <c r="C20" s="29">
        <v>10567.639649999999</v>
      </c>
      <c r="D20" s="29">
        <v>22783.980469999999</v>
      </c>
      <c r="E20" s="29">
        <v>2467.48999</v>
      </c>
      <c r="F20" s="29">
        <v>33848.03125</v>
      </c>
    </row>
    <row r="21" spans="1:6" x14ac:dyDescent="0.3">
      <c r="A21" t="s">
        <v>94</v>
      </c>
      <c r="B21" s="28">
        <v>43280</v>
      </c>
      <c r="C21" s="29">
        <v>10836.910159999999</v>
      </c>
      <c r="D21" s="29">
        <v>22304.509770000001</v>
      </c>
      <c r="E21" s="29">
        <v>2326.1298830000001</v>
      </c>
      <c r="F21" s="29">
        <v>35423.480470000002</v>
      </c>
    </row>
    <row r="22" spans="1:6" x14ac:dyDescent="0.3">
      <c r="A22" t="s">
        <v>95</v>
      </c>
      <c r="B22" s="28">
        <v>43462</v>
      </c>
      <c r="C22" s="29">
        <v>9727.4101559999999</v>
      </c>
      <c r="D22" s="29">
        <v>20014.769530000001</v>
      </c>
      <c r="E22" s="29">
        <v>2041.040039</v>
      </c>
      <c r="F22" s="29">
        <v>36076.71875</v>
      </c>
    </row>
    <row r="23" spans="1:6" x14ac:dyDescent="0.3">
      <c r="A23" t="s">
        <v>96</v>
      </c>
      <c r="B23" s="28">
        <v>43644</v>
      </c>
      <c r="C23" s="29">
        <v>10730.83008</v>
      </c>
      <c r="D23" s="29">
        <v>21275.91992</v>
      </c>
      <c r="E23" s="29">
        <v>2130.6201169999999</v>
      </c>
      <c r="F23" s="29">
        <v>39394.640630000002</v>
      </c>
    </row>
    <row r="24" spans="1:6" x14ac:dyDescent="0.3">
      <c r="A24" t="s">
        <v>97</v>
      </c>
      <c r="B24" s="28">
        <v>43829</v>
      </c>
      <c r="C24" s="29">
        <v>12053.37012</v>
      </c>
      <c r="D24" s="29">
        <v>23656.619139999999</v>
      </c>
      <c r="E24" s="29">
        <v>2197.669922</v>
      </c>
      <c r="F24" s="29">
        <v>41558</v>
      </c>
    </row>
    <row r="25" spans="1:6" x14ac:dyDescent="0.3">
      <c r="A25" t="s">
        <v>98</v>
      </c>
      <c r="B25" s="28">
        <v>44012</v>
      </c>
      <c r="C25" s="29">
        <v>11621.240229999999</v>
      </c>
      <c r="D25" s="29">
        <v>22288.140630000002</v>
      </c>
      <c r="E25" s="29">
        <v>2108.330078</v>
      </c>
      <c r="F25" s="29">
        <v>34915.800779999998</v>
      </c>
    </row>
    <row r="26" spans="1:6" x14ac:dyDescent="0.3">
      <c r="A26" t="s">
        <v>99</v>
      </c>
      <c r="B26" s="28">
        <v>44188</v>
      </c>
      <c r="C26" s="29">
        <v>14223.089840000001</v>
      </c>
      <c r="D26" s="29">
        <v>26524.789059999999</v>
      </c>
      <c r="E26" s="29">
        <v>2759.820068</v>
      </c>
      <c r="F26" s="29">
        <v>46444.179689999997</v>
      </c>
    </row>
    <row r="27" spans="1:6" x14ac:dyDescent="0.3">
      <c r="A27" t="s">
        <v>100</v>
      </c>
      <c r="B27" s="28">
        <v>44377</v>
      </c>
      <c r="C27" s="29">
        <v>17755.460940000001</v>
      </c>
      <c r="D27" s="29">
        <v>28791.529299999998</v>
      </c>
      <c r="E27" s="29">
        <v>3296.679932</v>
      </c>
      <c r="F27" s="29">
        <v>52482.710939999997</v>
      </c>
    </row>
    <row r="28" spans="1:6" x14ac:dyDescent="0.3">
      <c r="A28" t="s">
        <v>101</v>
      </c>
      <c r="B28" s="28">
        <v>44560</v>
      </c>
      <c r="C28" s="29">
        <v>18218.839840000001</v>
      </c>
      <c r="D28" s="29">
        <v>28791.710940000001</v>
      </c>
      <c r="E28" s="29">
        <v>2977.6499020000001</v>
      </c>
      <c r="F28" s="29">
        <v>57794.320310000003</v>
      </c>
    </row>
    <row r="29" spans="1:6" x14ac:dyDescent="0.3">
      <c r="A29" t="s">
        <v>102</v>
      </c>
      <c r="B29" s="28">
        <v>44742</v>
      </c>
      <c r="C29" s="29">
        <v>14825.73047</v>
      </c>
      <c r="D29" s="29">
        <v>26393.039059999999</v>
      </c>
      <c r="E29" s="29">
        <v>2332.639893</v>
      </c>
      <c r="F29" s="29">
        <v>53018.941409999999</v>
      </c>
    </row>
    <row r="30" spans="1:6" x14ac:dyDescent="0.3">
      <c r="A30" t="s">
        <v>103</v>
      </c>
      <c r="B30" s="28">
        <v>44924</v>
      </c>
      <c r="C30" s="29">
        <v>14085.01953</v>
      </c>
      <c r="D30" s="29">
        <v>26093.66992</v>
      </c>
      <c r="E30" s="29">
        <v>2236.3999020000001</v>
      </c>
      <c r="F30" s="29">
        <v>61133.878909999999</v>
      </c>
    </row>
    <row r="31" spans="1:6" x14ac:dyDescent="0.3">
      <c r="A31" t="s">
        <v>104</v>
      </c>
      <c r="B31" s="28">
        <v>45107</v>
      </c>
      <c r="C31" s="29">
        <v>16915.539059999999</v>
      </c>
      <c r="D31" s="29">
        <v>33189.039060000003</v>
      </c>
      <c r="E31" s="29">
        <v>2564.280029</v>
      </c>
      <c r="F31" s="29">
        <v>64718.558590000001</v>
      </c>
    </row>
    <row r="32" spans="1:6" x14ac:dyDescent="0.3">
      <c r="A32" t="s">
        <v>105</v>
      </c>
      <c r="B32" s="28">
        <v>45288</v>
      </c>
      <c r="C32" s="29">
        <v>17910.369139999999</v>
      </c>
      <c r="D32" s="29">
        <v>33539.621090000001</v>
      </c>
      <c r="E32" s="29">
        <v>2655.280029</v>
      </c>
      <c r="F32" s="29">
        <v>72410.382809999996</v>
      </c>
    </row>
    <row r="33" spans="1:6" x14ac:dyDescent="0.3">
      <c r="A33" t="s">
        <v>106</v>
      </c>
      <c r="B33" s="28">
        <v>45471</v>
      </c>
      <c r="C33" s="29">
        <v>23032.25</v>
      </c>
      <c r="D33" s="29">
        <v>39583.078130000002</v>
      </c>
      <c r="E33" s="29">
        <v>2797.820068</v>
      </c>
      <c r="F33" s="29">
        <v>79032.726559999996</v>
      </c>
    </row>
    <row r="34" spans="1:6" x14ac:dyDescent="0.3">
      <c r="A34" t="s">
        <v>107</v>
      </c>
      <c r="B34" s="28">
        <v>45656</v>
      </c>
      <c r="C34" s="29">
        <v>23190.2</v>
      </c>
      <c r="D34" s="29">
        <v>39894.54</v>
      </c>
      <c r="E34" s="29">
        <v>2399.4899999999998</v>
      </c>
      <c r="F34" s="29">
        <v>78248.13</v>
      </c>
    </row>
    <row r="35" spans="1:6" x14ac:dyDescent="0.3">
      <c r="A35" t="s">
        <v>108</v>
      </c>
      <c r="B35" s="28">
        <v>45838</v>
      </c>
      <c r="C35" s="29">
        <v>22256.02</v>
      </c>
      <c r="D35" s="29">
        <v>40487.39</v>
      </c>
      <c r="E35" s="29">
        <v>3071.7</v>
      </c>
      <c r="F35" s="29">
        <v>83606.460000000006</v>
      </c>
    </row>
    <row r="36" spans="1:6" x14ac:dyDescent="0.3">
      <c r="A36" t="s">
        <v>109</v>
      </c>
      <c r="B36" s="28">
        <v>46021</v>
      </c>
      <c r="C36" s="29">
        <v>28707.13</v>
      </c>
      <c r="D36" s="29">
        <v>50339.48</v>
      </c>
      <c r="E36" s="29">
        <v>4214.17</v>
      </c>
      <c r="F36" s="29">
        <v>84675.08</v>
      </c>
    </row>
    <row r="38" spans="1:6" x14ac:dyDescent="0.3">
      <c r="A38" s="25" t="s">
        <v>110</v>
      </c>
      <c r="B38" s="26"/>
      <c r="C38" s="26"/>
      <c r="D38" s="26"/>
      <c r="E38" s="26"/>
      <c r="F38" s="26"/>
    </row>
    <row r="39" spans="1:6" x14ac:dyDescent="0.3">
      <c r="A39" s="27" t="s">
        <v>73</v>
      </c>
      <c r="B39" s="27" t="s">
        <v>75</v>
      </c>
      <c r="C39" s="27" t="s">
        <v>76</v>
      </c>
      <c r="D39" s="27" t="s">
        <v>77</v>
      </c>
      <c r="E39" s="27" t="s">
        <v>78</v>
      </c>
    </row>
    <row r="40" spans="1:6" x14ac:dyDescent="0.3">
      <c r="A40" t="s">
        <v>80</v>
      </c>
      <c r="B40" s="30">
        <f t="shared" ref="B40:E69" si="0">C7/C6-1</f>
        <v>-3.8300943431984646E-2</v>
      </c>
      <c r="C40" s="30">
        <f t="shared" si="0"/>
        <v>-5.5972705381690302E-2</v>
      </c>
      <c r="D40" s="30">
        <f t="shared" si="0"/>
        <v>7.457556230257234E-3</v>
      </c>
      <c r="E40" s="30">
        <f t="shared" si="0"/>
        <v>-8.0631937192061076E-2</v>
      </c>
    </row>
    <row r="41" spans="1:6" x14ac:dyDescent="0.3">
      <c r="A41" t="s">
        <v>81</v>
      </c>
      <c r="B41" s="30">
        <f t="shared" si="0"/>
        <v>-0.18234650860921275</v>
      </c>
      <c r="C41" s="30">
        <f t="shared" si="0"/>
        <v>-0.14437522664549074</v>
      </c>
      <c r="D41" s="30">
        <f t="shared" si="0"/>
        <v>-0.13088554652149875</v>
      </c>
      <c r="E41" s="30">
        <f t="shared" si="0"/>
        <v>-0.17520759724430512</v>
      </c>
    </row>
    <row r="42" spans="1:6" x14ac:dyDescent="0.3">
      <c r="A42" t="s">
        <v>82</v>
      </c>
      <c r="B42" s="30">
        <f t="shared" si="0"/>
        <v>3.1302396892634921E-2</v>
      </c>
      <c r="C42" s="30">
        <f t="shared" si="0"/>
        <v>7.23774987500585E-2</v>
      </c>
      <c r="D42" s="30">
        <f t="shared" si="0"/>
        <v>1.5484143500630543E-2</v>
      </c>
      <c r="E42" s="30">
        <f t="shared" si="0"/>
        <v>0.12133680591809193</v>
      </c>
    </row>
    <row r="43" spans="1:6" x14ac:dyDescent="0.3">
      <c r="A43" t="s">
        <v>83</v>
      </c>
      <c r="B43" s="30">
        <f t="shared" si="0"/>
        <v>5.5263886252476357E-2</v>
      </c>
      <c r="C43" s="30">
        <f t="shared" si="0"/>
        <v>0.1541504705251957</v>
      </c>
      <c r="D43" s="30">
        <f t="shared" si="0"/>
        <v>7.7151708042827671E-2</v>
      </c>
      <c r="E43" s="30">
        <f t="shared" si="0"/>
        <v>0.11559733950751827</v>
      </c>
    </row>
    <row r="44" spans="1:6" x14ac:dyDescent="0.3">
      <c r="A44" t="s">
        <v>84</v>
      </c>
      <c r="B44" s="30">
        <f t="shared" si="0"/>
        <v>2.394949385816858E-2</v>
      </c>
      <c r="C44" s="30">
        <f t="shared" si="0"/>
        <v>0.27112278902799791</v>
      </c>
      <c r="D44" s="30">
        <f t="shared" si="0"/>
        <v>-8.1294957069951712E-2</v>
      </c>
      <c r="E44" s="30">
        <f t="shared" si="0"/>
        <v>-2.925663696286851E-2</v>
      </c>
    </row>
    <row r="45" spans="1:6" x14ac:dyDescent="0.3">
      <c r="A45" t="s">
        <v>85</v>
      </c>
      <c r="B45" s="30">
        <f t="shared" si="0"/>
        <v>9.3802646010243906E-2</v>
      </c>
      <c r="C45" s="30">
        <f t="shared" si="0"/>
        <v>0.23292452191764546</v>
      </c>
      <c r="D45" s="30">
        <f t="shared" si="0"/>
        <v>9.6277331289905232E-2</v>
      </c>
      <c r="E45" s="30">
        <f t="shared" si="0"/>
        <v>0.12010312824946245</v>
      </c>
    </row>
    <row r="46" spans="1:6" x14ac:dyDescent="0.3">
      <c r="A46" t="s">
        <v>86</v>
      </c>
      <c r="B46" s="30">
        <f t="shared" si="0"/>
        <v>8.9250052021926596E-2</v>
      </c>
      <c r="C46" s="30">
        <f t="shared" si="0"/>
        <v>-6.9313639590976139E-2</v>
      </c>
      <c r="D46" s="30">
        <f t="shared" si="0"/>
        <v>-4.5392649449297329E-3</v>
      </c>
      <c r="E46" s="30">
        <f t="shared" si="0"/>
        <v>0.20199439798111563</v>
      </c>
    </row>
    <row r="47" spans="1:6" x14ac:dyDescent="0.3">
      <c r="A47" t="s">
        <v>87</v>
      </c>
      <c r="B47" s="30">
        <f t="shared" si="0"/>
        <v>-3.1733116830329977E-2</v>
      </c>
      <c r="C47" s="30">
        <f t="shared" si="0"/>
        <v>0.16310676513224687</v>
      </c>
      <c r="D47" s="30">
        <f t="shared" si="0"/>
        <v>-2.9512372403984855E-2</v>
      </c>
      <c r="E47" s="30">
        <f t="shared" si="0"/>
        <v>9.0030283689447099E-2</v>
      </c>
    </row>
    <row r="48" spans="1:6" x14ac:dyDescent="0.3">
      <c r="A48" t="s">
        <v>88</v>
      </c>
      <c r="B48" s="30">
        <f t="shared" si="0"/>
        <v>2.5070960849416402E-2</v>
      </c>
      <c r="C48" s="30">
        <f t="shared" si="0"/>
        <v>0.14746635110898998</v>
      </c>
      <c r="D48" s="30">
        <f t="shared" si="0"/>
        <v>6.7458497847427079E-2</v>
      </c>
      <c r="E48" s="30">
        <f t="shared" si="0"/>
        <v>2.8532821410489628E-3</v>
      </c>
    </row>
    <row r="49" spans="1:5" x14ac:dyDescent="0.3">
      <c r="A49" t="s">
        <v>89</v>
      </c>
      <c r="B49" s="30">
        <f t="shared" si="0"/>
        <v>-0.11187696908439804</v>
      </c>
      <c r="C49" s="30">
        <f t="shared" si="0"/>
        <v>-5.9400847020670833E-2</v>
      </c>
      <c r="D49" s="30">
        <f t="shared" si="0"/>
        <v>-5.4425751936583722E-2</v>
      </c>
      <c r="E49" s="30">
        <f t="shared" si="0"/>
        <v>-6.5541626177355816E-2</v>
      </c>
    </row>
    <row r="50" spans="1:5" x14ac:dyDescent="0.3">
      <c r="A50" t="s">
        <v>90</v>
      </c>
      <c r="B50" s="30">
        <f t="shared" si="0"/>
        <v>4.6692190301745873E-2</v>
      </c>
      <c r="C50" s="30">
        <f t="shared" si="0"/>
        <v>-0.18166667713405971</v>
      </c>
      <c r="D50" s="30">
        <f t="shared" si="0"/>
        <v>4.6091218257500177E-3</v>
      </c>
      <c r="E50" s="30">
        <f t="shared" si="0"/>
        <v>4.0049700560238044E-2</v>
      </c>
    </row>
    <row r="51" spans="1:5" x14ac:dyDescent="0.3">
      <c r="A51" t="s">
        <v>91</v>
      </c>
      <c r="B51" s="30">
        <f t="shared" si="0"/>
        <v>5.6137061364610163E-2</v>
      </c>
      <c r="C51" s="30">
        <f t="shared" si="0"/>
        <v>0.22914991399108331</v>
      </c>
      <c r="D51" s="30">
        <f t="shared" si="0"/>
        <v>2.8477166840130907E-2</v>
      </c>
      <c r="E51" s="30">
        <f t="shared" si="0"/>
        <v>-2.3465809777802771E-2</v>
      </c>
    </row>
    <row r="52" spans="1:5" x14ac:dyDescent="0.3">
      <c r="A52" t="s">
        <v>92</v>
      </c>
      <c r="B52" s="30">
        <f t="shared" si="0"/>
        <v>0.13569059746475309</v>
      </c>
      <c r="C52" s="30">
        <f t="shared" si="0"/>
        <v>4.6397625233844941E-2</v>
      </c>
      <c r="D52" s="30">
        <f t="shared" si="0"/>
        <v>0.1802799389235008</v>
      </c>
      <c r="E52" s="30">
        <f t="shared" si="0"/>
        <v>0.17277679610474239</v>
      </c>
    </row>
    <row r="53" spans="1:5" x14ac:dyDescent="0.3">
      <c r="A53" t="s">
        <v>93</v>
      </c>
      <c r="B53" s="30">
        <f t="shared" si="0"/>
        <v>1.6601074822359729E-2</v>
      </c>
      <c r="C53" s="30">
        <f t="shared" si="0"/>
        <v>0.13729804744182061</v>
      </c>
      <c r="D53" s="30">
        <f t="shared" si="0"/>
        <v>3.1649914819299907E-2</v>
      </c>
      <c r="E53" s="30">
        <f t="shared" si="0"/>
        <v>9.4640024522552713E-2</v>
      </c>
    </row>
    <row r="54" spans="1:5" x14ac:dyDescent="0.3">
      <c r="A54" t="s">
        <v>94</v>
      </c>
      <c r="B54" s="30">
        <f t="shared" si="0"/>
        <v>2.5480667293571013E-2</v>
      </c>
      <c r="C54" s="30">
        <f t="shared" si="0"/>
        <v>-2.1044202554128977E-2</v>
      </c>
      <c r="D54" s="30">
        <f t="shared" si="0"/>
        <v>-5.7289029569680183E-2</v>
      </c>
      <c r="E54" s="30">
        <f t="shared" si="0"/>
        <v>4.6544781537330993E-2</v>
      </c>
    </row>
    <row r="55" spans="1:5" x14ac:dyDescent="0.3">
      <c r="A55" t="s">
        <v>95</v>
      </c>
      <c r="B55" s="30">
        <f t="shared" si="0"/>
        <v>-0.10238158179951173</v>
      </c>
      <c r="C55" s="30">
        <f t="shared" si="0"/>
        <v>-0.10265817377792108</v>
      </c>
      <c r="D55" s="30">
        <f t="shared" si="0"/>
        <v>-0.12255972724632247</v>
      </c>
      <c r="E55" s="30">
        <f t="shared" si="0"/>
        <v>1.8440827138745508E-2</v>
      </c>
    </row>
    <row r="56" spans="1:5" x14ac:dyDescent="0.3">
      <c r="A56" t="s">
        <v>96</v>
      </c>
      <c r="B56" s="30">
        <f t="shared" si="0"/>
        <v>0.1031538619126775</v>
      </c>
      <c r="C56" s="30">
        <f t="shared" si="0"/>
        <v>6.3010987366587834E-2</v>
      </c>
      <c r="D56" s="30">
        <f t="shared" si="0"/>
        <v>4.3889427100062939E-2</v>
      </c>
      <c r="E56" s="30">
        <f t="shared" si="0"/>
        <v>9.1968504757656167E-2</v>
      </c>
    </row>
    <row r="57" spans="1:5" x14ac:dyDescent="0.3">
      <c r="A57" t="s">
        <v>97</v>
      </c>
      <c r="B57" s="30">
        <f t="shared" si="0"/>
        <v>0.1232467600493401</v>
      </c>
      <c r="C57" s="30">
        <f t="shared" si="0"/>
        <v>0.11189641759095315</v>
      </c>
      <c r="D57" s="30">
        <f t="shared" si="0"/>
        <v>3.1469619790509107E-2</v>
      </c>
      <c r="E57" s="30">
        <f t="shared" si="0"/>
        <v>5.4915068024571578E-2</v>
      </c>
    </row>
    <row r="58" spans="1:5" x14ac:dyDescent="0.3">
      <c r="A58" t="s">
        <v>98</v>
      </c>
      <c r="B58" s="30">
        <f t="shared" si="0"/>
        <v>-3.5851374818646975E-2</v>
      </c>
      <c r="C58" s="30">
        <f t="shared" si="0"/>
        <v>-5.7847594447090422E-2</v>
      </c>
      <c r="D58" s="30">
        <f t="shared" si="0"/>
        <v>-4.0652075685094657E-2</v>
      </c>
      <c r="E58" s="30">
        <f t="shared" si="0"/>
        <v>-0.15982961692092978</v>
      </c>
    </row>
    <row r="59" spans="1:5" x14ac:dyDescent="0.3">
      <c r="A59" t="s">
        <v>99</v>
      </c>
      <c r="B59" s="30">
        <f t="shared" si="0"/>
        <v>0.22388743012844525</v>
      </c>
      <c r="C59" s="30">
        <f t="shared" si="0"/>
        <v>0.19008532386490051</v>
      </c>
      <c r="D59" s="30">
        <f t="shared" si="0"/>
        <v>0.30900758699890818</v>
      </c>
      <c r="E59" s="30">
        <f t="shared" si="0"/>
        <v>0.33017655767481435</v>
      </c>
    </row>
    <row r="60" spans="1:5" x14ac:dyDescent="0.3">
      <c r="A60" t="s">
        <v>100</v>
      </c>
      <c r="B60" s="30">
        <f t="shared" si="0"/>
        <v>0.24835469224597118</v>
      </c>
      <c r="C60" s="30">
        <f t="shared" si="0"/>
        <v>8.5457427573601086E-2</v>
      </c>
      <c r="D60" s="30">
        <f t="shared" si="0"/>
        <v>0.19452712523720939</v>
      </c>
      <c r="E60" s="30">
        <f t="shared" si="0"/>
        <v>0.13001696424191911</v>
      </c>
    </row>
    <row r="61" spans="1:5" x14ac:dyDescent="0.3">
      <c r="A61" t="s">
        <v>101</v>
      </c>
      <c r="B61" s="30">
        <f t="shared" si="0"/>
        <v>2.6097824301259731E-2</v>
      </c>
      <c r="C61" s="30">
        <f t="shared" si="0"/>
        <v>6.3087999984112741E-6</v>
      </c>
      <c r="D61" s="30">
        <f t="shared" si="0"/>
        <v>-9.6773128292880317E-2</v>
      </c>
      <c r="E61" s="30">
        <f t="shared" si="0"/>
        <v>0.10120684078367104</v>
      </c>
    </row>
    <row r="62" spans="1:5" x14ac:dyDescent="0.3">
      <c r="A62" t="s">
        <v>102</v>
      </c>
      <c r="B62" s="30">
        <f t="shared" si="0"/>
        <v>-0.18624179145317077</v>
      </c>
      <c r="C62" s="30">
        <f t="shared" si="0"/>
        <v>-8.3311196232786378E-2</v>
      </c>
      <c r="D62" s="30">
        <f t="shared" si="0"/>
        <v>-0.21661714111076857</v>
      </c>
      <c r="E62" s="30">
        <f t="shared" si="0"/>
        <v>-8.2627131427198908E-2</v>
      </c>
    </row>
    <row r="63" spans="1:5" x14ac:dyDescent="0.3">
      <c r="A63" t="s">
        <v>103</v>
      </c>
      <c r="B63" s="30">
        <f t="shared" si="0"/>
        <v>-4.9961176719004574E-2</v>
      </c>
      <c r="C63" s="30">
        <f t="shared" si="0"/>
        <v>-1.1342730911716337E-2</v>
      </c>
      <c r="D63" s="30">
        <f t="shared" si="0"/>
        <v>-4.1257971832174278E-2</v>
      </c>
      <c r="E63" s="30">
        <f t="shared" si="0"/>
        <v>0.15305732789431792</v>
      </c>
    </row>
    <row r="64" spans="1:5" x14ac:dyDescent="0.3">
      <c r="A64" t="s">
        <v>104</v>
      </c>
      <c r="B64" s="30">
        <f t="shared" si="0"/>
        <v>0.20095957438832168</v>
      </c>
      <c r="C64" s="30">
        <f t="shared" si="0"/>
        <v>0.27191917280143185</v>
      </c>
      <c r="D64" s="30">
        <f t="shared" si="0"/>
        <v>0.14661068742972949</v>
      </c>
      <c r="E64" s="30">
        <f t="shared" si="0"/>
        <v>5.8636548897499141E-2</v>
      </c>
    </row>
    <row r="65" spans="1:6" x14ac:dyDescent="0.3">
      <c r="A65" t="s">
        <v>105</v>
      </c>
      <c r="B65" s="30">
        <f t="shared" si="0"/>
        <v>5.8811609637227757E-2</v>
      </c>
      <c r="C65" s="30">
        <f t="shared" si="0"/>
        <v>1.0563187122296869E-2</v>
      </c>
      <c r="D65" s="30">
        <f t="shared" si="0"/>
        <v>3.5487543860600823E-2</v>
      </c>
      <c r="E65" s="30">
        <f t="shared" si="0"/>
        <v>0.11885036359861845</v>
      </c>
    </row>
    <row r="66" spans="1:6" x14ac:dyDescent="0.3">
      <c r="A66" t="s">
        <v>106</v>
      </c>
      <c r="B66" s="30">
        <f t="shared" si="0"/>
        <v>0.28597293668063406</v>
      </c>
      <c r="C66" s="30">
        <f t="shared" si="0"/>
        <v>0.18018859019853051</v>
      </c>
      <c r="D66" s="30">
        <f t="shared" si="0"/>
        <v>5.3681735049874169E-2</v>
      </c>
      <c r="E66" s="30">
        <f t="shared" si="0"/>
        <v>9.1455720754530345E-2</v>
      </c>
    </row>
    <row r="67" spans="1:6" x14ac:dyDescent="0.3">
      <c r="A67" t="s">
        <v>107</v>
      </c>
      <c r="B67" s="30">
        <f t="shared" si="0"/>
        <v>6.8577755104255456E-3</v>
      </c>
      <c r="C67" s="30">
        <f t="shared" si="0"/>
        <v>7.8685611305187031E-3</v>
      </c>
      <c r="D67" s="30">
        <f t="shared" si="0"/>
        <v>-0.14237158155947582</v>
      </c>
      <c r="E67" s="30">
        <f t="shared" si="0"/>
        <v>-9.9274894610189568E-3</v>
      </c>
    </row>
    <row r="68" spans="1:6" x14ac:dyDescent="0.3">
      <c r="A68" t="s">
        <v>108</v>
      </c>
      <c r="B68" s="30">
        <f t="shared" si="0"/>
        <v>-4.0283395572267566E-2</v>
      </c>
      <c r="C68" s="30">
        <f t="shared" si="0"/>
        <v>1.4860429522435936E-2</v>
      </c>
      <c r="D68" s="30">
        <f t="shared" si="0"/>
        <v>0.28014703124413942</v>
      </c>
      <c r="E68" s="30">
        <f t="shared" si="0"/>
        <v>6.8478697190591076E-2</v>
      </c>
    </row>
    <row r="69" spans="1:6" x14ac:dyDescent="0.3">
      <c r="A69" t="s">
        <v>109</v>
      </c>
      <c r="B69" s="30">
        <f t="shared" si="0"/>
        <v>0.28985910328980657</v>
      </c>
      <c r="C69" s="30">
        <f t="shared" si="0"/>
        <v>0.24333724648588118</v>
      </c>
      <c r="D69" s="30">
        <f t="shared" si="0"/>
        <v>0.3719341081485823</v>
      </c>
      <c r="E69" s="30">
        <f t="shared" si="0"/>
        <v>1.278154822007771E-2</v>
      </c>
    </row>
    <row r="71" spans="1:6" x14ac:dyDescent="0.3">
      <c r="A71" s="25" t="s">
        <v>111</v>
      </c>
      <c r="B71" s="26"/>
      <c r="C71" s="26"/>
      <c r="D71" s="26"/>
      <c r="E71" s="26"/>
      <c r="F71" s="26"/>
    </row>
    <row r="72" spans="1:6" x14ac:dyDescent="0.3">
      <c r="A72" s="27" t="s">
        <v>112</v>
      </c>
      <c r="B72" s="27" t="s">
        <v>75</v>
      </c>
      <c r="C72" s="27" t="s">
        <v>76</v>
      </c>
      <c r="D72" s="27" t="s">
        <v>77</v>
      </c>
      <c r="E72" s="27" t="s">
        <v>78</v>
      </c>
    </row>
    <row r="73" spans="1:6" x14ac:dyDescent="0.3">
      <c r="A73" s="31" t="s">
        <v>113</v>
      </c>
      <c r="B73" s="30">
        <f>AVERAGE(B40:B69)</f>
        <v>4.6248857898582955E-2</v>
      </c>
      <c r="C73" s="30">
        <f>AVERAGE(C40:C69)</f>
        <v>6.1541821396316282E-2</v>
      </c>
      <c r="D73" s="30">
        <f>AVERAGE(D40:D69)</f>
        <v>3.1914056533533339E-2</v>
      </c>
      <c r="E73" s="30">
        <f>AVERAGE(E40:E69)</f>
        <v>5.364745547416732E-2</v>
      </c>
    </row>
    <row r="74" spans="1:6" x14ac:dyDescent="0.3">
      <c r="A74" s="31" t="s">
        <v>114</v>
      </c>
      <c r="B74" s="32" t="e">
        <f ca="1">_xludf.VAR.S(B40:B69)</f>
        <v>#NAME?</v>
      </c>
      <c r="C74" s="32" t="e">
        <f ca="1">_xludf.VAR.S(C40:C69)</f>
        <v>#NAME?</v>
      </c>
      <c r="D74" s="32" t="e">
        <f ca="1">_xludf.VAR.S(D40:D69)</f>
        <v>#NAME?</v>
      </c>
      <c r="E74" s="32" t="e">
        <f ca="1">_xludf.VAR.S(E40:E69)</f>
        <v>#NAME?</v>
      </c>
    </row>
    <row r="75" spans="1:6" x14ac:dyDescent="0.3">
      <c r="A75" s="31" t="s">
        <v>115</v>
      </c>
      <c r="B75" s="30" t="e">
        <f ca="1">_xludf.STDEV.S(B40:B69)</f>
        <v>#NAME?</v>
      </c>
      <c r="C75" s="30" t="e">
        <f ca="1">_xludf.STDEV.S(C40:C69)</f>
        <v>#NAME?</v>
      </c>
      <c r="D75" s="30" t="e">
        <f ca="1">_xludf.STDEV.S(D40:D69)</f>
        <v>#NAME?</v>
      </c>
      <c r="E75" s="30" t="e">
        <f ca="1">_xludf.STDEV.S(E40:E69)</f>
        <v>#NAME?</v>
      </c>
    </row>
    <row r="76" spans="1:6" x14ac:dyDescent="0.3">
      <c r="A76" s="31" t="s">
        <v>116</v>
      </c>
      <c r="B76" s="30">
        <f>(1+AVERAGE(B40:B69))^2-1</f>
        <v>9.4636672654089038E-2</v>
      </c>
      <c r="C76" s="30">
        <f>(1+AVERAGE(C40:C69))^2-1</f>
        <v>0.12687103857340887</v>
      </c>
      <c r="D76" s="30">
        <f>(1+AVERAGE(D40:D69))^2-1</f>
        <v>6.4846620071492334E-2</v>
      </c>
      <c r="E76" s="30">
        <f>(1+AVERAGE(E40:E69))^2-1</f>
        <v>0.11017296042718727</v>
      </c>
    </row>
    <row r="77" spans="1:6" x14ac:dyDescent="0.3">
      <c r="A77" s="31" t="s">
        <v>117</v>
      </c>
      <c r="B77" s="33" t="e">
        <f ca="1">_xludf.STDEV.S(B40:B69)/AVERAGE(B40:B69)</f>
        <v>#NAME?</v>
      </c>
      <c r="C77" s="33" t="e">
        <f ca="1">_xludf.STDEV.S(C40:C69)/AVERAGE(C40:C69)</f>
        <v>#NAME?</v>
      </c>
      <c r="D77" s="33" t="e">
        <f ca="1">_xludf.STDEV.S(D40:D69)/AVERAGE(D40:D69)</f>
        <v>#NAME?</v>
      </c>
      <c r="E77" s="33" t="e">
        <f ca="1">_xludf.STDEV.S(E40:E69)/AVERAGE(E40:E69)</f>
        <v>#NAME?</v>
      </c>
    </row>
    <row r="78" spans="1:6" x14ac:dyDescent="0.3">
      <c r="A78" s="31" t="s">
        <v>118</v>
      </c>
      <c r="B78" s="34">
        <v>1</v>
      </c>
      <c r="C78" s="34">
        <f>CORREL($B$40:$B$69,C40:C69)</f>
        <v>0.62523544448523694</v>
      </c>
      <c r="D78" s="34">
        <f>CORREL($B$40:$B$69,D40:D69)</f>
        <v>0.72862214101849299</v>
      </c>
      <c r="E78" s="34">
        <f>CORREL($B$40:$B$69,E40:E69)</f>
        <v>0.5705204399719388</v>
      </c>
    </row>
    <row r="81" spans="1:6" x14ac:dyDescent="0.3">
      <c r="A81" s="25" t="s">
        <v>119</v>
      </c>
      <c r="B81" s="26"/>
      <c r="C81" s="26"/>
      <c r="D81" s="26"/>
      <c r="E81" s="26"/>
      <c r="F81" s="26"/>
    </row>
    <row r="82" spans="1:6" x14ac:dyDescent="0.3">
      <c r="A82" s="27" t="s">
        <v>120</v>
      </c>
      <c r="B82" s="27" t="s">
        <v>121</v>
      </c>
      <c r="C82" s="27" t="s">
        <v>122</v>
      </c>
      <c r="D82" s="27" t="s">
        <v>123</v>
      </c>
      <c r="E82" s="27" t="s">
        <v>124</v>
      </c>
      <c r="F82" s="27" t="s">
        <v>125</v>
      </c>
    </row>
    <row r="83" spans="1:6" x14ac:dyDescent="0.3">
      <c r="A83" s="31" t="s">
        <v>126</v>
      </c>
      <c r="B83" s="35">
        <f>$B$73-C73</f>
        <v>-1.5292963497733326E-2</v>
      </c>
      <c r="C83" s="36" t="e">
        <f ca="1">$B$74-C74</f>
        <v>#NAME?</v>
      </c>
      <c r="D83" t="str">
        <f>IF(B83&gt;0,"Taiwan","Japan")</f>
        <v>Japan</v>
      </c>
      <c r="E83" t="e">
        <f ca="1">IF(C83&lt;0,"Taiwan","Japan")</f>
        <v>#NAME?</v>
      </c>
      <c r="F83" t="e">
        <f ca="1">IF($B$77&lt;C77,"Taiwan","Japan")</f>
        <v>#NAME?</v>
      </c>
    </row>
    <row r="84" spans="1:6" x14ac:dyDescent="0.3">
      <c r="A84" s="31" t="s">
        <v>127</v>
      </c>
      <c r="B84" s="35">
        <f>$B$73-D73</f>
        <v>1.4334801365049617E-2</v>
      </c>
      <c r="C84" s="36" t="e">
        <f ca="1">$B$74-D74</f>
        <v>#NAME?</v>
      </c>
      <c r="D84" t="str">
        <f>IF(B84&gt;0,"Taiwan","Korea")</f>
        <v>Taiwan</v>
      </c>
      <c r="E84" t="e">
        <f ca="1">IF(C84&lt;0,"Taiwan","Korea")</f>
        <v>#NAME?</v>
      </c>
      <c r="F84" t="e">
        <f ca="1">IF($B$77&lt;D77,"Taiwan","Korea")</f>
        <v>#NAME?</v>
      </c>
    </row>
    <row r="85" spans="1:6" x14ac:dyDescent="0.3">
      <c r="A85" s="31" t="s">
        <v>128</v>
      </c>
      <c r="B85" s="35">
        <f>$B$73-E73</f>
        <v>-7.3985975755843647E-3</v>
      </c>
      <c r="C85" s="36" t="e">
        <f ca="1">$B$74-E74</f>
        <v>#NAME?</v>
      </c>
      <c r="D85" t="str">
        <f>IF(B85&gt;0,"Taiwan","India")</f>
        <v>India</v>
      </c>
      <c r="E85" t="e">
        <f ca="1">IF(C85&lt;0,"Taiwan","India")</f>
        <v>#NAME?</v>
      </c>
      <c r="F85" t="e">
        <f ca="1">IF($B$77&lt;E77,"Taiwan","India")</f>
        <v>#NAME?</v>
      </c>
    </row>
    <row r="87" spans="1:6" x14ac:dyDescent="0.3">
      <c r="A87" s="25" t="s">
        <v>129</v>
      </c>
      <c r="B87" s="26"/>
      <c r="C87" s="26"/>
      <c r="D87" s="26"/>
      <c r="E87" s="26"/>
      <c r="F87" s="26"/>
    </row>
    <row r="88" spans="1:6" x14ac:dyDescent="0.3">
      <c r="A88" s="31" t="s">
        <v>130</v>
      </c>
    </row>
    <row r="89" spans="1:6" x14ac:dyDescent="0.3">
      <c r="A89" t="s">
        <v>131</v>
      </c>
    </row>
    <row r="90" spans="1:6" x14ac:dyDescent="0.3">
      <c r="A90" t="s">
        <v>132</v>
      </c>
    </row>
    <row r="91" spans="1:6" x14ac:dyDescent="0.3">
      <c r="A91" t="s">
        <v>133</v>
      </c>
    </row>
    <row r="92" spans="1:6" x14ac:dyDescent="0.3">
      <c r="A92" t="s">
        <v>134</v>
      </c>
    </row>
    <row r="93" spans="1:6" x14ac:dyDescent="0.3">
      <c r="A93" t="s">
        <v>135</v>
      </c>
    </row>
    <row r="94" spans="1:6" x14ac:dyDescent="0.3">
      <c r="A94"/>
    </row>
    <row r="95" spans="1:6" x14ac:dyDescent="0.3">
      <c r="A95" s="31" t="s">
        <v>136</v>
      </c>
    </row>
    <row r="96" spans="1:6" x14ac:dyDescent="0.3">
      <c r="A96" t="s">
        <v>137</v>
      </c>
    </row>
    <row r="97" spans="1:1" x14ac:dyDescent="0.3">
      <c r="A97" t="s">
        <v>138</v>
      </c>
    </row>
    <row r="98" spans="1:1" x14ac:dyDescent="0.3">
      <c r="A98" t="s">
        <v>139</v>
      </c>
    </row>
    <row r="99" spans="1:1" x14ac:dyDescent="0.3">
      <c r="A99" t="s">
        <v>140</v>
      </c>
    </row>
    <row r="100" spans="1:1" x14ac:dyDescent="0.3">
      <c r="A100" t="s">
        <v>141</v>
      </c>
    </row>
    <row r="101" spans="1:1" x14ac:dyDescent="0.3">
      <c r="A101" t="s">
        <v>142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Q1 SMA</vt:lpstr>
      <vt:lpstr>Q2 EMA</vt:lpstr>
      <vt:lpstr>Q3 迴歸</vt:lpstr>
      <vt:lpstr>Q4 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Roy Lee(李玟毅_Pegatron)</cp:lastModifiedBy>
  <dcterms:created xsi:type="dcterms:W3CDTF">2026-09-19T02:46:01Z</dcterms:created>
  <dcterms:modified xsi:type="dcterms:W3CDTF">2026-09-27T08:22:09Z</dcterms:modified>
</cp:coreProperties>
</file>